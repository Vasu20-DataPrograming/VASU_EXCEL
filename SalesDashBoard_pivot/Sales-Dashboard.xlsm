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D:\Power_Pivot\Pivot table\Dashboard practice file for students\Dashboard practice file for students\"/>
    </mc:Choice>
  </mc:AlternateContent>
  <xr:revisionPtr revIDLastSave="0" documentId="13_ncr:1_{4529CCD0-20F2-4EF7-9D99-078EC5BB52E3}" xr6:coauthVersionLast="47" xr6:coauthVersionMax="47" xr10:uidLastSave="{00000000-0000-0000-0000-000000000000}"/>
  <bookViews>
    <workbookView xWindow="-108" yWindow="-108" windowWidth="23256" windowHeight="13896" xr2:uid="{81D512C5-DFD0-45A9-BA7A-3679803E1A90}"/>
  </bookViews>
  <sheets>
    <sheet name="Sheet2" sheetId="4" r:id="rId1"/>
    <sheet name="Table1" sheetId="5" r:id="rId2"/>
    <sheet name="RAW DATA" sheetId="1" r:id="rId3"/>
  </sheets>
  <definedNames>
    <definedName name="ExternalData_1" localSheetId="1" hidden="1">Table1!$A$1:$L$142</definedName>
    <definedName name="Slicer_Region1">#N/A</definedName>
  </definedNames>
  <calcPr calcId="191029"/>
  <pivotCaches>
    <pivotCache cacheId="6" r:id="rId4"/>
    <pivotCache cacheId="5"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K136" i="1"/>
  <c r="L136" i="1" s="1"/>
  <c r="I136" i="1"/>
  <c r="I135" i="1"/>
  <c r="K135" i="1" s="1"/>
  <c r="L135" i="1" s="1"/>
  <c r="I134" i="1"/>
  <c r="K134" i="1" s="1"/>
  <c r="L134" i="1" s="1"/>
  <c r="I133" i="1"/>
  <c r="K133" i="1" s="1"/>
  <c r="L133" i="1" s="1"/>
  <c r="I132" i="1"/>
  <c r="K132" i="1" s="1"/>
  <c r="L132" i="1" s="1"/>
  <c r="K131" i="1"/>
  <c r="L131" i="1" s="1"/>
  <c r="I131" i="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K120" i="1"/>
  <c r="L120" i="1" s="1"/>
  <c r="I120" i="1"/>
  <c r="I119" i="1"/>
  <c r="K119" i="1" s="1"/>
  <c r="L119" i="1" s="1"/>
  <c r="I118" i="1"/>
  <c r="K118" i="1" s="1"/>
  <c r="L118" i="1" s="1"/>
  <c r="I117" i="1"/>
  <c r="K117" i="1" s="1"/>
  <c r="L117" i="1" s="1"/>
  <c r="I116" i="1"/>
  <c r="K116" i="1" s="1"/>
  <c r="L116" i="1" s="1"/>
  <c r="I115" i="1"/>
  <c r="K115" i="1" s="1"/>
  <c r="L115" i="1" s="1"/>
  <c r="K114" i="1"/>
  <c r="L114" i="1" s="1"/>
  <c r="I114" i="1"/>
  <c r="I113" i="1"/>
  <c r="K113" i="1" s="1"/>
  <c r="L113" i="1" s="1"/>
  <c r="K112" i="1"/>
  <c r="L112" i="1" s="1"/>
  <c r="I112" i="1"/>
  <c r="K111" i="1"/>
  <c r="L111" i="1" s="1"/>
  <c r="I111" i="1"/>
  <c r="I110" i="1"/>
  <c r="K110" i="1" s="1"/>
  <c r="L110" i="1" s="1"/>
  <c r="I109" i="1"/>
  <c r="K109" i="1" s="1"/>
  <c r="L109" i="1" s="1"/>
  <c r="I108" i="1"/>
  <c r="K108" i="1" s="1"/>
  <c r="L108" i="1" s="1"/>
  <c r="K107" i="1"/>
  <c r="L107" i="1" s="1"/>
  <c r="I107" i="1"/>
  <c r="I106" i="1"/>
  <c r="K106" i="1" s="1"/>
  <c r="L106" i="1" s="1"/>
  <c r="I105" i="1"/>
  <c r="K105" i="1" s="1"/>
  <c r="L105" i="1" s="1"/>
  <c r="K104" i="1"/>
  <c r="L104" i="1" s="1"/>
  <c r="I104" i="1"/>
  <c r="I103" i="1"/>
  <c r="K103" i="1" s="1"/>
  <c r="L103" i="1" s="1"/>
  <c r="I102" i="1"/>
  <c r="K102" i="1" s="1"/>
  <c r="L102" i="1" s="1"/>
  <c r="I101" i="1"/>
  <c r="K101" i="1" s="1"/>
  <c r="L101" i="1" s="1"/>
  <c r="K100" i="1"/>
  <c r="L100" i="1" s="1"/>
  <c r="I100" i="1"/>
  <c r="K99" i="1"/>
  <c r="L99" i="1" s="1"/>
  <c r="I99" i="1"/>
  <c r="K98" i="1"/>
  <c r="L98" i="1" s="1"/>
  <c r="I98" i="1"/>
  <c r="I97" i="1"/>
  <c r="K97" i="1" s="1"/>
  <c r="L97" i="1" s="1"/>
  <c r="K96" i="1"/>
  <c r="L96" i="1" s="1"/>
  <c r="I96" i="1"/>
  <c r="K95" i="1"/>
  <c r="L95" i="1" s="1"/>
  <c r="I95" i="1"/>
  <c r="I94" i="1"/>
  <c r="K94" i="1" s="1"/>
  <c r="L94" i="1" s="1"/>
  <c r="I93" i="1"/>
  <c r="K93" i="1" s="1"/>
  <c r="L93" i="1" s="1"/>
  <c r="I92" i="1"/>
  <c r="K92" i="1" s="1"/>
  <c r="L92" i="1" s="1"/>
  <c r="K91" i="1"/>
  <c r="L91" i="1" s="1"/>
  <c r="I91" i="1"/>
  <c r="I90" i="1"/>
  <c r="K90" i="1" s="1"/>
  <c r="L90" i="1" s="1"/>
  <c r="I89" i="1"/>
  <c r="K89" i="1" s="1"/>
  <c r="L89" i="1" s="1"/>
  <c r="K88" i="1"/>
  <c r="L88" i="1" s="1"/>
  <c r="I88" i="1"/>
  <c r="I87" i="1"/>
  <c r="K87" i="1" s="1"/>
  <c r="L87" i="1" s="1"/>
  <c r="I86" i="1"/>
  <c r="K86" i="1" s="1"/>
  <c r="L86" i="1" s="1"/>
  <c r="I85" i="1"/>
  <c r="K85" i="1" s="1"/>
  <c r="L85" i="1" s="1"/>
  <c r="K84" i="1"/>
  <c r="L84" i="1" s="1"/>
  <c r="I84" i="1"/>
  <c r="K83" i="1"/>
  <c r="L83" i="1" s="1"/>
  <c r="I83" i="1"/>
  <c r="K82" i="1"/>
  <c r="L82" i="1" s="1"/>
  <c r="I82" i="1"/>
  <c r="I81" i="1"/>
  <c r="K81" i="1" s="1"/>
  <c r="L81" i="1" s="1"/>
  <c r="K80" i="1"/>
  <c r="L80" i="1" s="1"/>
  <c r="I80" i="1"/>
  <c r="K79" i="1"/>
  <c r="L79" i="1" s="1"/>
  <c r="I79" i="1"/>
  <c r="I78" i="1"/>
  <c r="K78" i="1" s="1"/>
  <c r="L78" i="1" s="1"/>
  <c r="I77" i="1"/>
  <c r="K77" i="1" s="1"/>
  <c r="L77" i="1" s="1"/>
  <c r="I76" i="1"/>
  <c r="K76" i="1" s="1"/>
  <c r="L76" i="1" s="1"/>
  <c r="K75" i="1"/>
  <c r="L75" i="1" s="1"/>
  <c r="I75" i="1"/>
  <c r="I74" i="1"/>
  <c r="K74" i="1" s="1"/>
  <c r="L74" i="1" s="1"/>
  <c r="I73" i="1"/>
  <c r="K73" i="1" s="1"/>
  <c r="L73" i="1" s="1"/>
  <c r="I72" i="1"/>
  <c r="K72" i="1" s="1"/>
  <c r="L72" i="1" s="1"/>
  <c r="I71" i="1"/>
  <c r="K71" i="1" s="1"/>
  <c r="L71" i="1" s="1"/>
  <c r="I70" i="1"/>
  <c r="K70" i="1" s="1"/>
  <c r="L70" i="1" s="1"/>
  <c r="I69" i="1"/>
  <c r="K69" i="1" s="1"/>
  <c r="L69" i="1" s="1"/>
  <c r="K68" i="1"/>
  <c r="L68" i="1" s="1"/>
  <c r="I68" i="1"/>
  <c r="I67" i="1"/>
  <c r="K67" i="1" s="1"/>
  <c r="L67" i="1" s="1"/>
  <c r="K66" i="1"/>
  <c r="L66" i="1" s="1"/>
  <c r="I66" i="1"/>
  <c r="I65" i="1"/>
  <c r="K65" i="1" s="1"/>
  <c r="L65" i="1" s="1"/>
  <c r="K64" i="1"/>
  <c r="L64" i="1" s="1"/>
  <c r="I64" i="1"/>
  <c r="K63" i="1"/>
  <c r="L63" i="1" s="1"/>
  <c r="I63" i="1"/>
  <c r="I62" i="1"/>
  <c r="K62" i="1" s="1"/>
  <c r="L62" i="1" s="1"/>
  <c r="I61" i="1"/>
  <c r="K61" i="1" s="1"/>
  <c r="L61" i="1" s="1"/>
  <c r="I60" i="1"/>
  <c r="K60" i="1" s="1"/>
  <c r="L60" i="1" s="1"/>
  <c r="K59" i="1"/>
  <c r="L59" i="1" s="1"/>
  <c r="I59" i="1"/>
  <c r="I58" i="1"/>
  <c r="K58" i="1" s="1"/>
  <c r="L58" i="1" s="1"/>
  <c r="I57" i="1"/>
  <c r="K57" i="1" s="1"/>
  <c r="L57" i="1" s="1"/>
  <c r="I56" i="1"/>
  <c r="K56" i="1" s="1"/>
  <c r="L56" i="1" s="1"/>
  <c r="I55" i="1"/>
  <c r="K55" i="1" s="1"/>
  <c r="L55" i="1" s="1"/>
  <c r="I54" i="1"/>
  <c r="K54" i="1" s="1"/>
  <c r="L54" i="1" s="1"/>
  <c r="I53" i="1"/>
  <c r="K53" i="1" s="1"/>
  <c r="L53" i="1" s="1"/>
  <c r="K52" i="1"/>
  <c r="L52" i="1" s="1"/>
  <c r="I52" i="1"/>
  <c r="I51" i="1"/>
  <c r="K51" i="1" s="1"/>
  <c r="L51" i="1" s="1"/>
  <c r="K50" i="1"/>
  <c r="L50" i="1" s="1"/>
  <c r="I50" i="1"/>
  <c r="I49" i="1"/>
  <c r="K49" i="1" s="1"/>
  <c r="L49" i="1" s="1"/>
  <c r="K48" i="1"/>
  <c r="L48" i="1" s="1"/>
  <c r="I48" i="1"/>
  <c r="K47" i="1"/>
  <c r="L47" i="1" s="1"/>
  <c r="I47" i="1"/>
  <c r="I46" i="1"/>
  <c r="K46" i="1" s="1"/>
  <c r="L46" i="1" s="1"/>
  <c r="I45" i="1"/>
  <c r="K45" i="1" s="1"/>
  <c r="L45" i="1" s="1"/>
  <c r="I44" i="1"/>
  <c r="K44" i="1" s="1"/>
  <c r="L44" i="1" s="1"/>
  <c r="K43" i="1"/>
  <c r="L43" i="1" s="1"/>
  <c r="I43" i="1"/>
  <c r="I42" i="1"/>
  <c r="K42" i="1" s="1"/>
  <c r="L42" i="1" s="1"/>
  <c r="I41" i="1"/>
  <c r="K41" i="1" s="1"/>
  <c r="L41" i="1" s="1"/>
  <c r="I40" i="1"/>
  <c r="K40" i="1" s="1"/>
  <c r="L40" i="1" s="1"/>
  <c r="I39" i="1"/>
  <c r="K39" i="1" s="1"/>
  <c r="L39" i="1" s="1"/>
  <c r="I38" i="1"/>
  <c r="K38" i="1" s="1"/>
  <c r="L38" i="1" s="1"/>
  <c r="I37" i="1"/>
  <c r="K37" i="1" s="1"/>
  <c r="L37" i="1" s="1"/>
  <c r="K36" i="1"/>
  <c r="L36" i="1" s="1"/>
  <c r="I36" i="1"/>
  <c r="I35" i="1"/>
  <c r="K35" i="1" s="1"/>
  <c r="L35" i="1" s="1"/>
  <c r="I34" i="1"/>
  <c r="K34" i="1" s="1"/>
  <c r="L34" i="1" s="1"/>
  <c r="I33" i="1"/>
  <c r="K33" i="1" s="1"/>
  <c r="L33" i="1" s="1"/>
  <c r="K32" i="1"/>
  <c r="L32" i="1" s="1"/>
  <c r="I32" i="1"/>
  <c r="K31" i="1"/>
  <c r="L31" i="1" s="1"/>
  <c r="I31" i="1"/>
  <c r="I30" i="1"/>
  <c r="K30" i="1" s="1"/>
  <c r="L30" i="1" s="1"/>
  <c r="I29" i="1"/>
  <c r="K29" i="1" s="1"/>
  <c r="L29" i="1" s="1"/>
  <c r="I28" i="1"/>
  <c r="K28" i="1" s="1"/>
  <c r="L28" i="1" s="1"/>
  <c r="K27" i="1"/>
  <c r="L27" i="1" s="1"/>
  <c r="I27" i="1"/>
  <c r="K26" i="1"/>
  <c r="L26" i="1" s="1"/>
  <c r="I26" i="1"/>
  <c r="I25" i="1"/>
  <c r="K25" i="1" s="1"/>
  <c r="L25" i="1" s="1"/>
  <c r="I24" i="1"/>
  <c r="K24" i="1" s="1"/>
  <c r="L24" i="1" s="1"/>
  <c r="K23" i="1"/>
  <c r="L23" i="1" s="1"/>
  <c r="I23" i="1"/>
  <c r="I22" i="1"/>
  <c r="K22" i="1" s="1"/>
  <c r="L22" i="1" s="1"/>
  <c r="I21" i="1"/>
  <c r="K21" i="1" s="1"/>
  <c r="L21" i="1" s="1"/>
  <c r="K20" i="1"/>
  <c r="L20" i="1" s="1"/>
  <c r="I20" i="1"/>
  <c r="K19" i="1"/>
  <c r="L19" i="1" s="1"/>
  <c r="I19" i="1"/>
  <c r="I18" i="1"/>
  <c r="K18" i="1" s="1"/>
  <c r="L18" i="1" s="1"/>
  <c r="I17" i="1"/>
  <c r="K17" i="1" s="1"/>
  <c r="L17" i="1" s="1"/>
  <c r="I16" i="1"/>
  <c r="K16" i="1" s="1"/>
  <c r="L16" i="1" s="1"/>
  <c r="K15" i="1"/>
  <c r="L15" i="1" s="1"/>
  <c r="I15" i="1"/>
  <c r="K14" i="1"/>
  <c r="L14" i="1" s="1"/>
  <c r="I14" i="1"/>
  <c r="I13" i="1"/>
  <c r="K13" i="1" s="1"/>
  <c r="L13" i="1" s="1"/>
  <c r="I12" i="1"/>
  <c r="K12" i="1" s="1"/>
  <c r="L12" i="1" s="1"/>
  <c r="K11" i="1"/>
  <c r="L11" i="1" s="1"/>
  <c r="I11" i="1"/>
  <c r="I10" i="1"/>
  <c r="K10" i="1" s="1"/>
  <c r="L10" i="1" s="1"/>
  <c r="I9" i="1"/>
  <c r="K9" i="1" s="1"/>
  <c r="L9" i="1" s="1"/>
  <c r="K8" i="1"/>
  <c r="L8" i="1" s="1"/>
  <c r="I8" i="1"/>
  <c r="K7" i="1"/>
  <c r="L7" i="1" s="1"/>
  <c r="I7" i="1"/>
  <c r="I6" i="1"/>
  <c r="K6" i="1" s="1"/>
  <c r="L6" i="1" s="1"/>
  <c r="I5" i="1"/>
  <c r="K5" i="1" s="1"/>
  <c r="L5" i="1" s="1"/>
  <c r="I4" i="1"/>
  <c r="K4" i="1" s="1"/>
  <c r="L4" i="1" s="1"/>
  <c r="K3" i="1"/>
  <c r="L3" i="1" s="1"/>
  <c r="I3" i="1"/>
  <c r="K2" i="1"/>
  <c r="L2" i="1" s="1"/>
  <c r="I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BF3CE6-A587-4971-8448-10B2F4A87E07}"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<sst xmlns="http://schemas.openxmlformats.org/spreadsheetml/2006/main" count="912" uniqueCount="316">
  <si>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</si>
  <si>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</si>
  <si>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</si>
  <si>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</si>
  <si>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</si>
  <si>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</si>
  <si>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</si>
  <si>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</si>
  <si>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</si>
  <si>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</si>
  <si>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</si>
  <si>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</si>
  <si>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</si>
  <si>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</si>
  <si>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</si>
  <si>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</si>
  <si>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</si>
  <si>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</si>
  <si>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</si>
  <si>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</si>
  <si>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</si>
  <si>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</si>
  <si>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</si>
  <si>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</si>
  <si>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</si>
  <si>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</si>
  <si>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</si>
  <si>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</si>
  <si>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</si>
  <si>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</si>
  <si>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</si>
  <si>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</si>
  <si>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</si>
  <si>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</si>
  <si>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</si>
  <si>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</si>
  <si>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</si>
  <si>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</si>
  <si>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</si>
  <si>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</si>
  <si>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</si>
  <si>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</si>
  <si>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</si>
  <si>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</si>
  <si>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</si>
  <si>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</si>
  <si>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</si>
  <si>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</si>
  <si>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</si>
  <si>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</si>
  <si>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</si>
  <si>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</si>
  <si>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</si>
  <si>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</si>
  <si>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</si>
  <si>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</si>
  <si>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</si>
  <si>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</si>
  <si>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</si>
  <si>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</si>
  <si>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</si>
  <si>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</si>
  <si>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</si>
  <si>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</si>
  <si>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</si>
  <si>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</si>
  <si>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</si>
  <si>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</si>
  <si>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</si>
  <si>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</si>
  <si>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</si>
  <si>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</si>
  <si>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</si>
  <si>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</si>
  <si>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</si>
  <si>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</si>
  <si>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</si>
  <si>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</si>
  <si>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</si>
  <si>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</si>
  <si>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</si>
  <si>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</si>
  <si>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</si>
  <si>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</si>
  <si>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</si>
  <si>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</si>
  <si>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</si>
  <si>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</si>
  <si>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</si>
  <si>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</si>
  <si>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</si>
  <si>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</si>
  <si>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</si>
  <si>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</si>
  <si>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</si>
  <si>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</si>
  <si>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</si>
  <si>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</si>
  <si>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</si>
  <si>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</si>
  <si>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</si>
  <si>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</si>
  <si>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</si>
  <si>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</si>
  <si>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</si>
  <si>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</si>
  <si>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</si>
  <si>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</si>
  <si>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</si>
  <si>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</si>
  <si>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</si>
  <si>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</si>
  <si>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</si>
  <si>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</si>
  <si>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</si>
  <si>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</si>
  <si>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</si>
  <si>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</si>
  <si>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</si>
  <si>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</si>
  <si>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</si>
  <si>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</si>
  <si>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</si>
  <si>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</si>
  <si>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</si>
  <si>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</si>
  <si>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</si>
  <si>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</si>
  <si>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</si>
  <si>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</si>
  <si>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</si>
  <si>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</si>
  <si>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</si>
  <si>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</si>
  <si>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</si>
  <si>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</si>
  <si>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</si>
  <si>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</si>
  <si>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</si>
  <si>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</si>
  <si>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</si>
  <si>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</si>
  <si>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</si>
  <si>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</si>
  <si>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</si>
  <si>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</si>
  <si>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</si>
  <si>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</si>
  <si>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</si>
  <si>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</si>
  <si>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</si>
  <si>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</si>
  <si>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</si>
  <si>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</si>
  <si>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</si>
  <si>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</si>
  <si>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</si>
  <si>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</si>
  <si>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</si>
  <si>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</si>
  <si>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</si>
  <si>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</si>
  <si>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</si>
  <si>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</si>
  <si>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</si>
  <si>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</si>
  <si>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</si>
  <si>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</si>
  <si>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</si>
  <si>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</si>
  <si>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</si>
  <si>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</si>
  <si>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</si>
  <si>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</si>
  <si>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</si>
  <si>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</si>
  <si>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</si>
  <si>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</si>
  <si>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</si>
  <si>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</si>
  <si>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</si>
  <si>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</si>
  <si>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</si>
  <si>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</si>
  <si>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</si>
  <si>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</si>
  <si>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</si>
  <si>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</si>
  <si>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</si>
  <si>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</si>
  <si>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</si>
  <si>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</si>
  <si>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</si>
  <si>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</si>
  <si>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</si>
  <si>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</si>
  <si>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</si>
  <si>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</si>
  <si>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</si>
  <si>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</si>
  <si>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</si>
  <si>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</si>
  <si>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</si>
  <si>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</si>
  <si>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</si>
  <si>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</si>
  <si>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</si>
  <si>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</si>
  <si>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</si>
  <si>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</si>
  <si>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</si>
  <si>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</si>
  <si>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</si>
  <si>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</si>
  <si>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</si>
  <si>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</si>
  <si>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</si>
  <si>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</si>
  <si>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</si>
  <si>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</si>
  <si>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</si>
  <si>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</si>
  <si>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</si>
  <si>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</si>
  <si>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</si>
  <si>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</si>
  <si>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</si>
  <si>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</si>
  <si>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</si>
  <si>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</si>
  <si>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</si>
  <si>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</si>
  <si>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</si>
  <si>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</si>
  <si>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</si>
  <si>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</si>
  <si>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</si>
  <si>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</si>
  <si>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</si>
  <si>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</si>
  <si>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</si>
  <si>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</si>
  <si>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</si>
  <si>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</si>
  <si>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</si>
  <si>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</si>
  <si>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</si>
  <si>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</si>
  <si>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</si>
  <si>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</si>
  <si>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</si>
  <si>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</si>
  <si>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</si>
  <si>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</si>
  <si>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</si>
  <si>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</si>
  <si>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</si>
  <si>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</si>
  <si>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</si>
  <si>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</si>
  <si>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</si>
  <si>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</si>
  <si>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</si>
  <si>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</si>
  <si>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</si>
  <si>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</si>
  <si>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</si>
  <si>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</si>
  <si>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</si>
  <si>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</si>
  <si>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</si>
  <si>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</si>
  <si>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</si>
  <si>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</si>
  <si>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</si>
  <si>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</si>
  <si>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</si>
  <si>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</si>
  <si>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</si>
  <si>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</si>
  <si>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</si>
  <si>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</si>
  <si>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</si>
  <si>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</si>
  <si>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</si>
  <si>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</si>
  <si>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</si>
  <si>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</si>
  <si>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</si>
  <si>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</si>
  <si>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</si>
  <si>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</si>
  <si>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</si>
  <si>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</si>
  <si>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</si>
  <si>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</si>
  <si>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</si>
  <si>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</si>
  <si>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</si>
  <si>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</si>
  <si>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</si>
  <si>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</si>
  <si>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</si>
  <si>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</si>
  <si>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SALES DATA WITH REGION WISE</t>
  </si>
  <si>
    <t>Sum of Day1</t>
  </si>
  <si>
    <t>Sum of Day2</t>
  </si>
  <si>
    <t>Sum of Day3</t>
  </si>
  <si>
    <t>Sum of Day4</t>
  </si>
  <si>
    <t>Sum of Day5</t>
  </si>
  <si>
    <t>Rank</t>
  </si>
  <si>
    <t>Total_Sales</t>
  </si>
  <si>
    <t>Achieve_target%</t>
  </si>
  <si>
    <t>TARGET ACHIVED SALESMAN</t>
  </si>
  <si>
    <t>TARGET NOT ACHIVED SALESMAN</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</si>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</sst>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8"/>
      <color theme="1"/>
      <name val="Calibri"/>
      <family val="2"/>
      <scheme val="minor"/>
    </font>
    <font>
      <b/>
      <sz val="12"/>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tint="0.59999389629810485"/>
        <bgColor indexed="64"/>
      </patternFill>
    </fill>
    <fill>
      <patternFill patternType="solid">
        <fgColor theme="7"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1" fillId="0" borderId="0" applyFont="0" applyFill="0" applyBorder="0" applyAlignment="0" applyProtection="0"/>
  </cellStyleXfs>
  <cellXfs count="30">
    <xf numFmtId="0" fontId="0" fillId="0" borderId="0" xfId="0"/>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4" fontId="3" fillId="3" borderId="2" xfId="0" applyNumberFormat="1" applyFont="1" applyFill="1" applyBorder="1" applyAlignment="1">
      <alignment horizontal="center" vertical="center"/>
    </xf>
    <xf numFmtId="10" fontId="4" fillId="3" borderId="3" xfId="0" applyNumberFormat="1"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14" fontId="3" fillId="3" borderId="7" xfId="0" applyNumberFormat="1" applyFont="1" applyFill="1" applyBorder="1" applyAlignment="1">
      <alignment horizontal="center" vertical="center"/>
    </xf>
    <xf numFmtId="0" fontId="0" fillId="3" borderId="8" xfId="0" applyFill="1" applyBorder="1"/>
    <xf numFmtId="0" fontId="3" fillId="3" borderId="8" xfId="0" applyFont="1" applyFill="1" applyBorder="1" applyAlignment="1">
      <alignment horizontal="center" vertical="center"/>
    </xf>
    <xf numFmtId="0" fontId="4" fillId="3" borderId="8" xfId="0" applyFont="1" applyFill="1" applyBorder="1" applyAlignment="1">
      <alignment horizontal="center" vertical="center"/>
    </xf>
    <xf numFmtId="10" fontId="4" fillId="3" borderId="8" xfId="1" applyNumberFormat="1" applyFont="1" applyFill="1" applyBorder="1" applyAlignment="1">
      <alignment horizontal="center" vertical="center"/>
    </xf>
    <xf numFmtId="10" fontId="4" fillId="3" borderId="9" xfId="0" applyNumberFormat="1" applyFont="1" applyFill="1" applyBorder="1" applyAlignment="1">
      <alignment horizontal="center" vertical="center"/>
    </xf>
    <xf numFmtId="0" fontId="0" fillId="0" borderId="0" xfId="0" applyAlignment="1">
      <alignment horizontal="left" vertical="top"/>
    </xf>
    <xf numFmtId="0" fontId="5" fillId="4" borderId="0" xfId="0" applyFont="1" applyFill="1" applyAlignment="1">
      <alignment horizontal="center" vertical="center"/>
    </xf>
    <xf numFmtId="0" fontId="0" fillId="0" borderId="0" xfId="0" applyNumberFormat="1"/>
    <xf numFmtId="0" fontId="0" fillId="0" borderId="0" xfId="0" applyNumberFormat="1" applyAlignment="1">
      <alignment horizontal="left" vertical="top"/>
    </xf>
    <xf numFmtId="0" fontId="0" fillId="0" borderId="0" xfId="0" pivotButton="1" applyAlignment="1">
      <alignment horizontal="left" vertical="top"/>
    </xf>
    <xf numFmtId="10" fontId="0" fillId="0" borderId="0" xfId="0" applyNumberFormat="1"/>
    <xf numFmtId="10" fontId="0" fillId="0" borderId="0" xfId="0" applyNumberFormat="1" applyAlignment="1">
      <alignment horizontal="left" vertical="top"/>
    </xf>
    <xf numFmtId="0" fontId="0" fillId="0" borderId="0" xfId="0" applyAlignment="1">
      <alignment horizontal="center"/>
    </xf>
    <xf numFmtId="0" fontId="0" fillId="0" borderId="0" xfId="0" applyAlignment="1">
      <alignment horizontal="center"/>
    </xf>
    <xf numFmtId="0" fontId="6" fillId="5" borderId="0" xfId="0" applyFont="1" applyFill="1" applyAlignment="1">
      <alignment horizontal="center" vertical="center"/>
    </xf>
    <xf numFmtId="2" fontId="0" fillId="0" borderId="0" xfId="0" applyNumberFormat="1" applyAlignment="1">
      <alignment horizontal="left" vertical="top"/>
    </xf>
  </cellXfs>
  <cellStyles count="2">
    <cellStyle name="Normal" xfId="0" builtinId="0"/>
    <cellStyle name="Percent" xfId="1" builtinId="5"/>
  </cellStyles>
  <dxfs count="117">
    <dxf>
      <numFmt numFmtId="2" formatCode="0.00"/>
    </dxf>
    <dxf>
      <alignment horizontal="left" vertical="top"/>
    </dxf>
    <dxf>
      <alignment horizontal="left" vertical="top"/>
    </dxf>
    <dxf>
      <numFmt numFmtId="0" formatCode="General"/>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alignment horizontal="left" vertical="top"/>
    </dxf>
    <dxf>
      <alignment horizontal="left" vertical="top"/>
    </dxf>
    <dxf>
      <alignment horizontal="left" vertical="top"/>
    </dxf>
    <dxf>
      <numFmt numFmtId="0" formatCode="General"/>
    </dxf>
    <dxf>
      <alignment horizontal="left" vertical="top"/>
    </dxf>
    <dxf>
      <alignment horizontal="left" vertical="top"/>
    </dxf>
    <dxf>
      <alignment horizontal="left" vertical="top"/>
    </dxf>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rgb="FF000000"/>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116"/>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NEW.xlsm]Sheet2!PivotTable2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Total</a:t>
            </a:r>
            <a:r>
              <a:rPr lang="en-GB" baseline="0"/>
              <a:t> Day Sales</a:t>
            </a:r>
            <a:endParaRPr lang="en-GB"/>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8.7673812347060676E-2"/>
          <c:y val="0.45214667240928685"/>
          <c:w val="0.87566516114419712"/>
          <c:h val="0.43939952807441846"/>
        </c:manualLayout>
      </c:layout>
      <c:barChart>
        <c:barDir val="col"/>
        <c:grouping val="clustered"/>
        <c:varyColors val="0"/>
        <c:ser>
          <c:idx val="0"/>
          <c:order val="0"/>
          <c:tx>
            <c:strRef>
              <c:f>Sheet2!$A$3</c:f>
              <c:strCache>
                <c:ptCount val="1"/>
                <c:pt idx="0">
                  <c:v>Sum of Day1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Sheet2!$A$4</c:f>
              <c:strCache>
                <c:ptCount val="1"/>
                <c:pt idx="0">
                  <c:v>Total</c:v>
                </c:pt>
              </c:strCache>
            </c:strRef>
          </c:cat>
          <c:val>
            <c:numRef>
              <c:f>Sheet2!$A$4</c:f>
              <c:numCache>
                <c:formatCode>General</c:formatCode>
                <c:ptCount val="1"/>
                <c:pt idx="0">
                  <c:v>1075</c:v>
                </c:pt>
              </c:numCache>
            </c:numRef>
          </c:val>
          <c:extLst>
            <c:ext xmlns:c16="http://schemas.microsoft.com/office/drawing/2014/chart" uri="{C3380CC4-5D6E-409C-BE32-E72D297353CC}">
              <c16:uniqueId val="{00000000-6B63-4D1E-8673-E8853551426D}"/>
            </c:ext>
          </c:extLst>
        </c:ser>
        <c:ser>
          <c:idx val="1"/>
          <c:order val="1"/>
          <c:tx>
            <c:strRef>
              <c:f>Sheet2!$B$3</c:f>
              <c:strCache>
                <c:ptCount val="1"/>
                <c:pt idx="0">
                  <c:v>Sum of Day2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Sheet2!$A$4</c:f>
              <c:strCache>
                <c:ptCount val="1"/>
                <c:pt idx="0">
                  <c:v>Total</c:v>
                </c:pt>
              </c:strCache>
            </c:strRef>
          </c:cat>
          <c:val>
            <c:numRef>
              <c:f>Sheet2!$B$4</c:f>
              <c:numCache>
                <c:formatCode>General</c:formatCode>
                <c:ptCount val="1"/>
                <c:pt idx="0">
                  <c:v>827</c:v>
                </c:pt>
              </c:numCache>
            </c:numRef>
          </c:val>
          <c:extLst>
            <c:ext xmlns:c16="http://schemas.microsoft.com/office/drawing/2014/chart" uri="{C3380CC4-5D6E-409C-BE32-E72D297353CC}">
              <c16:uniqueId val="{00000001-6B63-4D1E-8673-E8853551426D}"/>
            </c:ext>
          </c:extLst>
        </c:ser>
        <c:ser>
          <c:idx val="2"/>
          <c:order val="2"/>
          <c:tx>
            <c:strRef>
              <c:f>Sheet2!$C$3</c:f>
              <c:strCache>
                <c:ptCount val="1"/>
                <c:pt idx="0">
                  <c:v>Sum of Day3</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Sheet2!$A$4</c:f>
              <c:strCache>
                <c:ptCount val="1"/>
                <c:pt idx="0">
                  <c:v>Total</c:v>
                </c:pt>
              </c:strCache>
            </c:strRef>
          </c:cat>
          <c:val>
            <c:numRef>
              <c:f>Sheet2!$C$4</c:f>
              <c:numCache>
                <c:formatCode>General</c:formatCode>
                <c:ptCount val="1"/>
                <c:pt idx="0">
                  <c:v>825</c:v>
                </c:pt>
              </c:numCache>
            </c:numRef>
          </c:val>
          <c:extLst>
            <c:ext xmlns:c16="http://schemas.microsoft.com/office/drawing/2014/chart" uri="{C3380CC4-5D6E-409C-BE32-E72D297353CC}">
              <c16:uniqueId val="{00000002-6B63-4D1E-8673-E8853551426D}"/>
            </c:ext>
          </c:extLst>
        </c:ser>
        <c:ser>
          <c:idx val="3"/>
          <c:order val="3"/>
          <c:tx>
            <c:strRef>
              <c:f>Sheet2!$D$3</c:f>
              <c:strCache>
                <c:ptCount val="1"/>
                <c:pt idx="0">
                  <c:v>Sum of Day4</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Sheet2!$A$4</c:f>
              <c:strCache>
                <c:ptCount val="1"/>
                <c:pt idx="0">
                  <c:v>Total</c:v>
                </c:pt>
              </c:strCache>
            </c:strRef>
          </c:cat>
          <c:val>
            <c:numRef>
              <c:f>Sheet2!$D$4</c:f>
              <c:numCache>
                <c:formatCode>General</c:formatCode>
                <c:ptCount val="1"/>
                <c:pt idx="0">
                  <c:v>888</c:v>
                </c:pt>
              </c:numCache>
            </c:numRef>
          </c:val>
          <c:extLst>
            <c:ext xmlns:c16="http://schemas.microsoft.com/office/drawing/2014/chart" uri="{C3380CC4-5D6E-409C-BE32-E72D297353CC}">
              <c16:uniqueId val="{00000003-6B63-4D1E-8673-E8853551426D}"/>
            </c:ext>
          </c:extLst>
        </c:ser>
        <c:ser>
          <c:idx val="4"/>
          <c:order val="4"/>
          <c:tx>
            <c:strRef>
              <c:f>Sheet2!$E$3</c:f>
              <c:strCache>
                <c:ptCount val="1"/>
                <c:pt idx="0">
                  <c:v>Sum of Day5</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Sheet2!$A$4</c:f>
              <c:strCache>
                <c:ptCount val="1"/>
                <c:pt idx="0">
                  <c:v>Total</c:v>
                </c:pt>
              </c:strCache>
            </c:strRef>
          </c:cat>
          <c:val>
            <c:numRef>
              <c:f>Sheet2!$E$4</c:f>
              <c:numCache>
                <c:formatCode>General</c:formatCode>
                <c:ptCount val="1"/>
                <c:pt idx="0">
                  <c:v>982</c:v>
                </c:pt>
              </c:numCache>
            </c:numRef>
          </c:val>
          <c:extLst>
            <c:ext xmlns:c16="http://schemas.microsoft.com/office/drawing/2014/chart" uri="{C3380CC4-5D6E-409C-BE32-E72D297353CC}">
              <c16:uniqueId val="{00000004-6B63-4D1E-8673-E8853551426D}"/>
            </c:ext>
          </c:extLst>
        </c:ser>
        <c:dLbls>
          <c:showLegendKey val="0"/>
          <c:showVal val="1"/>
          <c:showCatName val="0"/>
          <c:showSerName val="0"/>
          <c:showPercent val="0"/>
          <c:showBubbleSize val="0"/>
        </c:dLbls>
        <c:gapWidth val="100"/>
        <c:overlap val="-24"/>
        <c:axId val="357115967"/>
        <c:axId val="357115007"/>
      </c:barChart>
      <c:catAx>
        <c:axId val="35711596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7115007"/>
        <c:crosses val="autoZero"/>
        <c:auto val="1"/>
        <c:lblAlgn val="ctr"/>
        <c:lblOffset val="100"/>
        <c:noMultiLvlLbl val="0"/>
      </c:catAx>
      <c:valAx>
        <c:axId val="35711500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71159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NEW.xlsm]Sheet2!PivotTable5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sales</a:t>
            </a:r>
            <a:r>
              <a:rPr lang="en-GB" baseline="0"/>
              <a:t> in month</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25866922657889"/>
          <c:y val="0.14776104686377531"/>
          <c:w val="0.86674133077342108"/>
          <c:h val="0.72583306335366393"/>
        </c:manualLayout>
      </c:layout>
      <c:barChart>
        <c:barDir val="col"/>
        <c:grouping val="clustered"/>
        <c:varyColors val="0"/>
        <c:ser>
          <c:idx val="0"/>
          <c:order val="0"/>
          <c:tx>
            <c:strRef>
              <c:f>Sheet2!$C$19</c:f>
              <c:strCache>
                <c:ptCount val="1"/>
                <c:pt idx="0">
                  <c:v>Total</c:v>
                </c:pt>
              </c:strCache>
            </c:strRef>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Sheet2!$B$20:$B$27</c:f>
              <c:strCache>
                <c:ptCount val="8"/>
                <c:pt idx="0">
                  <c:v>Chennai</c:v>
                </c:pt>
                <c:pt idx="1">
                  <c:v>Delhi</c:v>
                </c:pt>
                <c:pt idx="2">
                  <c:v>Mumbai</c:v>
                </c:pt>
                <c:pt idx="3">
                  <c:v>Nagpur</c:v>
                </c:pt>
                <c:pt idx="4">
                  <c:v>Patna</c:v>
                </c:pt>
                <c:pt idx="5">
                  <c:v>Pune</c:v>
                </c:pt>
                <c:pt idx="6">
                  <c:v>Ranchi</c:v>
                </c:pt>
                <c:pt idx="7">
                  <c:v>Surat</c:v>
                </c:pt>
              </c:strCache>
            </c:strRef>
          </c:cat>
          <c:val>
            <c:numRef>
              <c:f>Sheet2!$C$20:$C$27</c:f>
              <c:numCache>
                <c:formatCode>General</c:formatCode>
                <c:ptCount val="8"/>
                <c:pt idx="0">
                  <c:v>5063</c:v>
                </c:pt>
                <c:pt idx="1">
                  <c:v>4965</c:v>
                </c:pt>
                <c:pt idx="2">
                  <c:v>5197</c:v>
                </c:pt>
                <c:pt idx="3">
                  <c:v>5248</c:v>
                </c:pt>
                <c:pt idx="4">
                  <c:v>4597</c:v>
                </c:pt>
                <c:pt idx="5">
                  <c:v>5067</c:v>
                </c:pt>
                <c:pt idx="6">
                  <c:v>4296</c:v>
                </c:pt>
                <c:pt idx="7">
                  <c:v>4512</c:v>
                </c:pt>
              </c:numCache>
            </c:numRef>
          </c:val>
          <c:extLst>
            <c:ext xmlns:c16="http://schemas.microsoft.com/office/drawing/2014/chart" uri="{C3380CC4-5D6E-409C-BE32-E72D297353CC}">
              <c16:uniqueId val="{00000002-33D7-4A1F-8610-B973ADB3CC50}"/>
            </c:ext>
          </c:extLst>
        </c:ser>
        <c:dLbls>
          <c:dLblPos val="outEnd"/>
          <c:showLegendKey val="0"/>
          <c:showVal val="1"/>
          <c:showCatName val="0"/>
          <c:showSerName val="0"/>
          <c:showPercent val="0"/>
          <c:showBubbleSize val="0"/>
        </c:dLbls>
        <c:gapWidth val="150"/>
        <c:axId val="925095600"/>
        <c:axId val="925085040"/>
      </c:barChart>
      <c:catAx>
        <c:axId val="925095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085040"/>
        <c:auto val="1"/>
        <c:lblAlgn val="ctr"/>
        <c:lblOffset val="100"/>
        <c:noMultiLvlLbl val="0"/>
      </c:catAx>
      <c:valAx>
        <c:axId val="92508504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095600"/>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525780</xdr:colOff>
      <xdr:row>2</xdr:row>
      <xdr:rowOff>53340</xdr:rowOff>
    </xdr:from>
    <xdr:to>
      <xdr:col>9</xdr:col>
      <xdr:colOff>212400</xdr:colOff>
      <xdr:row>14</xdr:row>
      <xdr:rowOff>111540</xdr:rowOff>
    </xdr:to>
    <mc:AlternateContent xmlns:mc="http://schemas.openxmlformats.org/markup-compatibility/2006">
      <mc:Choice xmlns:a14="http://schemas.microsoft.com/office/drawing/2010/main" Requires="a14">
        <xdr:graphicFrame macro="">
          <xdr:nvGraphicFramePr>
            <xdr:cNvPr id="8" name="Region 1">
              <a:extLst>
                <a:ext uri="{FF2B5EF4-FFF2-40B4-BE49-F238E27FC236}">
                  <a16:creationId xmlns:a16="http://schemas.microsoft.com/office/drawing/2014/main" id="{0C549965-5A72-1563-ADD2-51784030EF4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3726180" y="533400"/>
              <a:ext cx="1584000" cy="2268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xdr:row>
      <xdr:rowOff>30480</xdr:rowOff>
    </xdr:from>
    <xdr:to>
      <xdr:col>4</xdr:col>
      <xdr:colOff>518160</xdr:colOff>
      <xdr:row>14</xdr:row>
      <xdr:rowOff>160020</xdr:rowOff>
    </xdr:to>
    <xdr:graphicFrame macro="">
      <xdr:nvGraphicFramePr>
        <xdr:cNvPr id="9" name="Chart 8">
          <a:extLst>
            <a:ext uri="{FF2B5EF4-FFF2-40B4-BE49-F238E27FC236}">
              <a16:creationId xmlns:a16="http://schemas.microsoft.com/office/drawing/2014/main" id="{8D9E247B-1B28-A7EF-05E3-96E736CE2C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45720</xdr:colOff>
      <xdr:row>14</xdr:row>
      <xdr:rowOff>137160</xdr:rowOff>
    </xdr:from>
    <xdr:to>
      <xdr:col>9</xdr:col>
      <xdr:colOff>190500</xdr:colOff>
      <xdr:row>28</xdr:row>
      <xdr:rowOff>7620</xdr:rowOff>
    </xdr:to>
    <xdr:graphicFrame macro="">
      <xdr:nvGraphicFramePr>
        <xdr:cNvPr id="2" name="Chart 1">
          <a:extLst>
            <a:ext uri="{FF2B5EF4-FFF2-40B4-BE49-F238E27FC236}">
              <a16:creationId xmlns:a16="http://schemas.microsoft.com/office/drawing/2014/main" id="{14A4E5A3-F6DE-9112-2B42-A79C577B37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3">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fieldGroup par="12"/>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ount="70">
        <n v="84"/>
        <n v="85"/>
        <n v="79"/>
        <n v="99"/>
        <n v="54"/>
        <n v="31"/>
        <n v="28"/>
        <n v="97"/>
        <n v="26"/>
        <n v="52"/>
        <n v="17"/>
        <n v="88"/>
        <n v="77"/>
        <n v="58"/>
        <n v="25"/>
        <n v="69"/>
        <n v="46"/>
        <n v="34"/>
        <n v="73"/>
        <n v="22"/>
        <n v="71"/>
        <n v="87"/>
        <n v="38"/>
        <n v="90"/>
        <n v="66"/>
        <n v="30"/>
        <n v="59"/>
        <n v="23"/>
        <n v="13"/>
        <n v="18"/>
        <n v="60"/>
        <n v="51"/>
        <n v="82"/>
        <n v="16"/>
        <n v="72"/>
        <n v="36"/>
        <n v="67"/>
        <n v="39"/>
        <n v="14"/>
        <n v="35"/>
        <n v="12"/>
        <n v="55"/>
        <n v="70"/>
        <n v="78"/>
        <n v="75"/>
        <n v="74"/>
        <n v="11"/>
        <n v="15"/>
        <n v="44"/>
        <n v="83"/>
        <n v="94"/>
        <n v="49"/>
        <n v="63"/>
        <n v="19"/>
        <n v="42"/>
        <n v="80"/>
        <n v="48"/>
        <n v="45"/>
        <n v="96"/>
        <n v="91"/>
        <n v="53"/>
        <n v="62"/>
        <n v="65"/>
        <n v="61"/>
        <n v="92"/>
        <n v="24"/>
        <n v="68"/>
        <n v="21"/>
        <n v="43"/>
        <n v="81"/>
      </sharedItems>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 name="Sales Executive2" numFmtId="0" databaseField="0">
      <fieldGroup base="1">
        <discretePr count="14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discretePr>
        <groupItems count="1">
          <s v="Group1"/>
        </groupItems>
      </fieldGroup>
    </cacheField>
  </cacheFields>
  <extLst>
    <ext xmlns:x14="http://schemas.microsoft.com/office/spreadsheetml/2009/9/main" uri="{725AE2AE-9491-48be-B2B4-4EB974FC3084}">
      <x14:pivotCacheDefinition pivotCacheId="9356687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su naidu" refreshedDate="45968.765859606479" createdVersion="8" refreshedVersion="8" minRefreshableVersion="3" recordCount="141" xr:uid="{F2B53256-DB43-4530-9817-B03B3378C37F}">
  <cacheSource type="worksheet">
    <worksheetSource name="Table1_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ount="1">
        <n v="500"/>
      </sharedItems>
    </cacheField>
    <cacheField name="Target Hit %" numFmtId="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0">
      <sharedItems containsSemiMixedTypes="0" containsString="0" containsNumber="1" minValue="0.22199999999999998" maxValue="0.7139999999999999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x v="0"/>
    <x v="0"/>
    <n v="98"/>
    <n v="67"/>
    <n v="41"/>
    <x v="0"/>
    <n v="500"/>
    <x v="0"/>
    <n v="0.32199999999999995"/>
  </r>
  <r>
    <s v="Mum-TCL002"/>
    <x v="1"/>
    <x v="1"/>
    <x v="1"/>
    <x v="1"/>
    <n v="47"/>
    <n v="15"/>
    <n v="48"/>
    <x v="1"/>
    <n v="500"/>
    <x v="1"/>
    <n v="0.52200000000000002"/>
  </r>
  <r>
    <s v="Mum-TCL003"/>
    <x v="2"/>
    <x v="2"/>
    <x v="2"/>
    <x v="2"/>
    <n v="88"/>
    <n v="73"/>
    <n v="94"/>
    <x v="2"/>
    <n v="500"/>
    <x v="2"/>
    <n v="0.24199999999999999"/>
  </r>
  <r>
    <s v="Mum-TCL004"/>
    <x v="3"/>
    <x v="3"/>
    <x v="3"/>
    <x v="3"/>
    <n v="13"/>
    <n v="95"/>
    <n v="29"/>
    <x v="3"/>
    <n v="500"/>
    <x v="3"/>
    <n v="0.42400000000000004"/>
  </r>
  <r>
    <s v="Mum-TCL005"/>
    <x v="4"/>
    <x v="4"/>
    <x v="4"/>
    <x v="4"/>
    <n v="49"/>
    <n v="26"/>
    <n v="49"/>
    <x v="4"/>
    <n v="500"/>
    <x v="4"/>
    <n v="0.57400000000000007"/>
  </r>
  <r>
    <s v="Mum-TCL006"/>
    <x v="5"/>
    <x v="5"/>
    <x v="5"/>
    <x v="5"/>
    <n v="23"/>
    <n v="48"/>
    <n v="77"/>
    <x v="5"/>
    <n v="500"/>
    <x v="5"/>
    <n v="0.47"/>
  </r>
  <r>
    <s v="Mum-TCL007"/>
    <x v="6"/>
    <x v="6"/>
    <x v="6"/>
    <x v="6"/>
    <n v="98"/>
    <n v="80"/>
    <n v="79"/>
    <x v="6"/>
    <n v="500"/>
    <x v="6"/>
    <n v="0.26200000000000001"/>
  </r>
  <r>
    <s v="Mum-TCL008"/>
    <x v="7"/>
    <x v="7"/>
    <x v="7"/>
    <x v="7"/>
    <n v="38"/>
    <n v="24"/>
    <n v="53"/>
    <x v="7"/>
    <n v="500"/>
    <x v="7"/>
    <n v="0.43000000000000005"/>
  </r>
  <r>
    <s v="Mum-TCL009"/>
    <x v="8"/>
    <x v="0"/>
    <x v="8"/>
    <x v="8"/>
    <n v="53"/>
    <n v="36"/>
    <n v="20"/>
    <x v="8"/>
    <n v="500"/>
    <x v="8"/>
    <n v="0.622"/>
  </r>
  <r>
    <s v="Mum-TCL010"/>
    <x v="9"/>
    <x v="1"/>
    <x v="3"/>
    <x v="9"/>
    <n v="19"/>
    <n v="53"/>
    <n v="37"/>
    <x v="4"/>
    <n v="500"/>
    <x v="4"/>
    <n v="0.57400000000000007"/>
  </r>
  <r>
    <s v="Mum-TCL011"/>
    <x v="10"/>
    <x v="2"/>
    <x v="9"/>
    <x v="10"/>
    <n v="40"/>
    <n v="48"/>
    <n v="51"/>
    <x v="9"/>
    <n v="500"/>
    <x v="9"/>
    <n v="0.56200000000000006"/>
  </r>
  <r>
    <s v="Mum-TCL012"/>
    <x v="11"/>
    <x v="3"/>
    <x v="10"/>
    <x v="3"/>
    <n v="95"/>
    <n v="12"/>
    <n v="91"/>
    <x v="10"/>
    <n v="500"/>
    <x v="10"/>
    <n v="0.248"/>
  </r>
  <r>
    <s v="Mum-TCL013"/>
    <x v="12"/>
    <x v="4"/>
    <x v="11"/>
    <x v="11"/>
    <n v="11"/>
    <n v="78"/>
    <n v="60"/>
    <x v="11"/>
    <n v="500"/>
    <x v="11"/>
    <n v="0.33599999999999997"/>
  </r>
  <r>
    <s v="Mum-TCL014"/>
    <x v="13"/>
    <x v="5"/>
    <x v="12"/>
    <x v="12"/>
    <n v="66"/>
    <n v="22"/>
    <n v="40"/>
    <x v="3"/>
    <n v="500"/>
    <x v="3"/>
    <n v="0.42400000000000004"/>
  </r>
  <r>
    <s v="Mum-TCL015"/>
    <x v="14"/>
    <x v="6"/>
    <x v="13"/>
    <x v="13"/>
    <n v="34"/>
    <n v="84"/>
    <n v="31"/>
    <x v="7"/>
    <n v="500"/>
    <x v="7"/>
    <n v="0.43000000000000005"/>
  </r>
  <r>
    <s v="Mum-TCL016"/>
    <x v="15"/>
    <x v="7"/>
    <x v="14"/>
    <x v="14"/>
    <n v="45"/>
    <n v="70"/>
    <n v="45"/>
    <x v="12"/>
    <n v="500"/>
    <x v="12"/>
    <n v="0.60199999999999998"/>
  </r>
  <r>
    <s v="Mum-TCL017"/>
    <x v="16"/>
    <x v="0"/>
    <x v="15"/>
    <x v="15"/>
    <n v="96"/>
    <n v="66"/>
    <n v="38"/>
    <x v="13"/>
    <n v="500"/>
    <x v="13"/>
    <n v="0.38800000000000001"/>
  </r>
  <r>
    <s v="Mum-TCL018"/>
    <x v="17"/>
    <x v="1"/>
    <x v="16"/>
    <x v="16"/>
    <n v="91"/>
    <n v="98"/>
    <n v="45"/>
    <x v="14"/>
    <n v="500"/>
    <x v="14"/>
    <n v="0.41800000000000004"/>
  </r>
  <r>
    <s v="Mum-TCL019"/>
    <x v="18"/>
    <x v="2"/>
    <x v="17"/>
    <x v="17"/>
    <n v="64"/>
    <n v="65"/>
    <n v="70"/>
    <x v="15"/>
    <n v="500"/>
    <x v="15"/>
    <n v="0.496"/>
  </r>
  <r>
    <s v="Mum-TCL020"/>
    <x v="19"/>
    <x v="3"/>
    <x v="18"/>
    <x v="0"/>
    <n v="13"/>
    <n v="45"/>
    <n v="18"/>
    <x v="16"/>
    <n v="500"/>
    <x v="16"/>
    <n v="0.49399999999999999"/>
  </r>
  <r>
    <s v="Mum-TCL021"/>
    <x v="20"/>
    <x v="4"/>
    <x v="19"/>
    <x v="18"/>
    <n v="97"/>
    <n v="76"/>
    <n v="53"/>
    <x v="17"/>
    <n v="500"/>
    <x v="17"/>
    <n v="0.26600000000000001"/>
  </r>
  <r>
    <s v="Mum-TCL022"/>
    <x v="21"/>
    <x v="5"/>
    <x v="20"/>
    <x v="10"/>
    <n v="48"/>
    <n v="44"/>
    <n v="93"/>
    <x v="18"/>
    <n v="500"/>
    <x v="18"/>
    <n v="0.39800000000000002"/>
  </r>
  <r>
    <s v="Mum-TCL023"/>
    <x v="22"/>
    <x v="6"/>
    <x v="21"/>
    <x v="6"/>
    <n v="31"/>
    <n v="34"/>
    <n v="52"/>
    <x v="19"/>
    <n v="500"/>
    <x v="19"/>
    <n v="0.59599999999999997"/>
  </r>
  <r>
    <s v="Mum-TCL024"/>
    <x v="23"/>
    <x v="7"/>
    <x v="22"/>
    <x v="19"/>
    <n v="18"/>
    <n v="11"/>
    <n v="92"/>
    <x v="20"/>
    <n v="500"/>
    <x v="20"/>
    <n v="0.63400000000000001"/>
  </r>
  <r>
    <s v="Mum-TCL025"/>
    <x v="24"/>
    <x v="0"/>
    <x v="23"/>
    <x v="3"/>
    <n v="94"/>
    <n v="75"/>
    <n v="29"/>
    <x v="21"/>
    <n v="500"/>
    <x v="21"/>
    <n v="0.31200000000000006"/>
  </r>
  <r>
    <s v="Mum-TCL026"/>
    <x v="25"/>
    <x v="1"/>
    <x v="24"/>
    <x v="20"/>
    <n v="80"/>
    <n v="76"/>
    <n v="33"/>
    <x v="22"/>
    <n v="500"/>
    <x v="22"/>
    <n v="0.44799999999999995"/>
  </r>
  <r>
    <s v="Mum-TCL027"/>
    <x v="26"/>
    <x v="2"/>
    <x v="25"/>
    <x v="21"/>
    <n v="92"/>
    <n v="72"/>
    <n v="34"/>
    <x v="23"/>
    <n v="500"/>
    <x v="23"/>
    <n v="0.28600000000000003"/>
  </r>
  <r>
    <s v="Mum-TCL028"/>
    <x v="27"/>
    <x v="3"/>
    <x v="26"/>
    <x v="22"/>
    <n v="70"/>
    <n v="89"/>
    <n v="97"/>
    <x v="24"/>
    <n v="500"/>
    <x v="24"/>
    <n v="0.35199999999999998"/>
  </r>
  <r>
    <s v="Mum-TCL029"/>
    <x v="28"/>
    <x v="4"/>
    <x v="27"/>
    <x v="23"/>
    <n v="91"/>
    <n v="85"/>
    <n v="10"/>
    <x v="25"/>
    <n v="500"/>
    <x v="25"/>
    <n v="0.31799999999999995"/>
  </r>
  <r>
    <s v="Mum-TCL030"/>
    <x v="29"/>
    <x v="5"/>
    <x v="12"/>
    <x v="16"/>
    <n v="99"/>
    <n v="36"/>
    <n v="89"/>
    <x v="26"/>
    <n v="500"/>
    <x v="26"/>
    <n v="0.29400000000000004"/>
  </r>
  <r>
    <s v="Mum-TCL031"/>
    <x v="30"/>
    <x v="6"/>
    <x v="28"/>
    <x v="24"/>
    <n v="40"/>
    <n v="22"/>
    <n v="38"/>
    <x v="27"/>
    <n v="500"/>
    <x v="27"/>
    <n v="0.64800000000000002"/>
  </r>
  <r>
    <s v="Mum-TCL032"/>
    <x v="31"/>
    <x v="7"/>
    <x v="15"/>
    <x v="25"/>
    <n v="19"/>
    <n v="77"/>
    <n v="67"/>
    <x v="28"/>
    <n v="500"/>
    <x v="28"/>
    <n v="0.54"/>
  </r>
  <r>
    <s v="Mum-TCL033"/>
    <x v="32"/>
    <x v="0"/>
    <x v="12"/>
    <x v="16"/>
    <n v="17"/>
    <n v="94"/>
    <n v="92"/>
    <x v="11"/>
    <n v="500"/>
    <x v="11"/>
    <n v="0.33599999999999997"/>
  </r>
  <r>
    <s v="Mum-TCL034"/>
    <x v="33"/>
    <x v="1"/>
    <x v="6"/>
    <x v="26"/>
    <n v="41"/>
    <n v="17"/>
    <n v="22"/>
    <x v="29"/>
    <n v="500"/>
    <x v="29"/>
    <n v="0.55400000000000005"/>
  </r>
  <r>
    <s v="Mum-TCL035"/>
    <x v="34"/>
    <x v="2"/>
    <x v="29"/>
    <x v="4"/>
    <n v="79"/>
    <n v="61"/>
    <n v="47"/>
    <x v="30"/>
    <n v="500"/>
    <x v="30"/>
    <n v="0.35399999999999998"/>
  </r>
  <r>
    <s v="Mum-TCL036"/>
    <x v="35"/>
    <x v="3"/>
    <x v="23"/>
    <x v="27"/>
    <n v="19"/>
    <n v="64"/>
    <n v="61"/>
    <x v="31"/>
    <n v="500"/>
    <x v="31"/>
    <n v="0.57200000000000006"/>
  </r>
  <r>
    <s v="Mum-TCL037"/>
    <x v="36"/>
    <x v="4"/>
    <x v="30"/>
    <x v="28"/>
    <n v="79"/>
    <n v="85"/>
    <n v="67"/>
    <x v="32"/>
    <n v="500"/>
    <x v="32"/>
    <n v="0.32999999999999996"/>
  </r>
  <r>
    <s v="Mum-TCL038"/>
    <x v="37"/>
    <x v="5"/>
    <x v="31"/>
    <x v="26"/>
    <n v="25"/>
    <n v="55"/>
    <n v="59"/>
    <x v="33"/>
    <n v="500"/>
    <x v="33"/>
    <n v="0.47199999999999998"/>
  </r>
  <r>
    <s v="Mum-TCL039"/>
    <x v="38"/>
    <x v="6"/>
    <x v="32"/>
    <x v="29"/>
    <n v="88"/>
    <n v="46"/>
    <n v="52"/>
    <x v="34"/>
    <n v="500"/>
    <x v="34"/>
    <n v="0.45199999999999996"/>
  </r>
  <r>
    <s v="Mum-TCL040"/>
    <x v="39"/>
    <x v="7"/>
    <x v="15"/>
    <x v="30"/>
    <n v="44"/>
    <n v="61"/>
    <n v="30"/>
    <x v="35"/>
    <n v="500"/>
    <x v="35"/>
    <n v="0.53600000000000003"/>
  </r>
  <r>
    <s v="Mum-TCL041"/>
    <x v="40"/>
    <x v="0"/>
    <x v="24"/>
    <x v="16"/>
    <n v="33"/>
    <n v="54"/>
    <n v="58"/>
    <x v="36"/>
    <n v="500"/>
    <x v="36"/>
    <n v="0.58600000000000008"/>
  </r>
  <r>
    <s v="Mum-TCL042"/>
    <x v="41"/>
    <x v="1"/>
    <x v="23"/>
    <x v="7"/>
    <n v="74"/>
    <n v="97"/>
    <n v="56"/>
    <x v="37"/>
    <n v="500"/>
    <x v="37"/>
    <n v="0.25800000000000001"/>
  </r>
  <r>
    <s v="Mum-TCL043"/>
    <x v="42"/>
    <x v="2"/>
    <x v="5"/>
    <x v="19"/>
    <n v="10"/>
    <n v="60"/>
    <n v="28"/>
    <x v="38"/>
    <n v="500"/>
    <x v="38"/>
    <n v="0.58800000000000008"/>
  </r>
  <r>
    <s v="Mum-TCL044"/>
    <x v="43"/>
    <x v="3"/>
    <x v="33"/>
    <x v="10"/>
    <n v="45"/>
    <n v="64"/>
    <n v="13"/>
    <x v="4"/>
    <n v="500"/>
    <x v="4"/>
    <n v="0.57400000000000007"/>
  </r>
  <r>
    <s v="Mum-TCL045"/>
    <x v="44"/>
    <x v="4"/>
    <x v="34"/>
    <x v="31"/>
    <n v="15"/>
    <n v="97"/>
    <n v="42"/>
    <x v="7"/>
    <n v="500"/>
    <x v="7"/>
    <n v="0.43000000000000005"/>
  </r>
  <r>
    <s v="Mum-TCL046"/>
    <x v="45"/>
    <x v="5"/>
    <x v="0"/>
    <x v="32"/>
    <n v="95"/>
    <n v="46"/>
    <n v="78"/>
    <x v="39"/>
    <n v="500"/>
    <x v="39"/>
    <n v="0.30000000000000004"/>
  </r>
  <r>
    <s v="Mum-TCL047"/>
    <x v="46"/>
    <x v="6"/>
    <x v="35"/>
    <x v="11"/>
    <n v="12"/>
    <n v="54"/>
    <n v="21"/>
    <x v="40"/>
    <n v="500"/>
    <x v="40"/>
    <n v="0.61599999999999999"/>
  </r>
  <r>
    <s v="Mum-TCL048"/>
    <x v="47"/>
    <x v="7"/>
    <x v="33"/>
    <x v="33"/>
    <n v="74"/>
    <n v="36"/>
    <n v="33"/>
    <x v="41"/>
    <n v="500"/>
    <x v="41"/>
    <n v="0.53400000000000003"/>
  </r>
  <r>
    <s v="Mum-TCL049"/>
    <x v="48"/>
    <x v="0"/>
    <x v="7"/>
    <x v="34"/>
    <n v="38"/>
    <n v="19"/>
    <n v="90"/>
    <x v="42"/>
    <n v="500"/>
    <x v="42"/>
    <n v="0.41600000000000004"/>
  </r>
  <r>
    <s v="Mum-TCL050"/>
    <x v="49"/>
    <x v="1"/>
    <x v="35"/>
    <x v="0"/>
    <n v="90"/>
    <n v="77"/>
    <n v="72"/>
    <x v="43"/>
    <n v="500"/>
    <x v="43"/>
    <n v="0.31999999999999995"/>
  </r>
  <r>
    <s v="Mum-TCL051"/>
    <x v="50"/>
    <x v="2"/>
    <x v="3"/>
    <x v="35"/>
    <n v="84"/>
    <n v="41"/>
    <n v="57"/>
    <x v="44"/>
    <n v="500"/>
    <x v="44"/>
    <n v="0.45999999999999996"/>
  </r>
  <r>
    <s v="Mum-TCL052"/>
    <x v="51"/>
    <x v="3"/>
    <x v="27"/>
    <x v="36"/>
    <n v="72"/>
    <n v="22"/>
    <n v="23"/>
    <x v="45"/>
    <n v="500"/>
    <x v="45"/>
    <n v="0.502"/>
  </r>
  <r>
    <s v="Mum-TCL053"/>
    <x v="52"/>
    <x v="4"/>
    <x v="36"/>
    <x v="37"/>
    <n v="25"/>
    <n v="99"/>
    <n v="71"/>
    <x v="46"/>
    <n v="500"/>
    <x v="46"/>
    <n v="0.35599999999999998"/>
  </r>
  <r>
    <s v="Mum-TCL054"/>
    <x v="53"/>
    <x v="5"/>
    <x v="37"/>
    <x v="38"/>
    <n v="15"/>
    <n v="58"/>
    <n v="79"/>
    <x v="8"/>
    <n v="500"/>
    <x v="8"/>
    <n v="0.622"/>
  </r>
  <r>
    <s v="Mum-TCL055"/>
    <x v="54"/>
    <x v="6"/>
    <x v="38"/>
    <x v="36"/>
    <n v="48"/>
    <n v="95"/>
    <n v="35"/>
    <x v="47"/>
    <n v="500"/>
    <x v="47"/>
    <n v="0.48"/>
  </r>
  <r>
    <s v="Mum-TCL056"/>
    <x v="55"/>
    <x v="7"/>
    <x v="39"/>
    <x v="39"/>
    <n v="82"/>
    <n v="31"/>
    <n v="26"/>
    <x v="40"/>
    <n v="500"/>
    <x v="40"/>
    <n v="0.61599999999999999"/>
  </r>
  <r>
    <s v="Mum-TCL057"/>
    <x v="56"/>
    <x v="0"/>
    <x v="21"/>
    <x v="30"/>
    <n v="42"/>
    <n v="81"/>
    <n v="44"/>
    <x v="48"/>
    <n v="500"/>
    <x v="48"/>
    <n v="0.43200000000000005"/>
  </r>
  <r>
    <s v="Mum-TCL058"/>
    <x v="57"/>
    <x v="1"/>
    <x v="40"/>
    <x v="7"/>
    <n v="66"/>
    <n v="45"/>
    <n v="50"/>
    <x v="42"/>
    <n v="500"/>
    <x v="42"/>
    <n v="0.41600000000000004"/>
  </r>
  <r>
    <s v="Mum-TCL059"/>
    <x v="58"/>
    <x v="2"/>
    <x v="12"/>
    <x v="40"/>
    <n v="70"/>
    <n v="83"/>
    <n v="52"/>
    <x v="49"/>
    <n v="500"/>
    <x v="49"/>
    <n v="0.4"/>
  </r>
  <r>
    <s v="Mum-TCL060"/>
    <x v="59"/>
    <x v="3"/>
    <x v="41"/>
    <x v="41"/>
    <n v="56"/>
    <n v="16"/>
    <n v="61"/>
    <x v="33"/>
    <n v="500"/>
    <x v="33"/>
    <n v="0.47199999999999998"/>
  </r>
  <r>
    <s v="Mum-TCL061"/>
    <x v="60"/>
    <x v="4"/>
    <x v="22"/>
    <x v="42"/>
    <n v="19"/>
    <n v="36"/>
    <n v="52"/>
    <x v="50"/>
    <n v="500"/>
    <x v="50"/>
    <n v="0.56600000000000006"/>
  </r>
  <r>
    <s v="Mum-TCL062"/>
    <x v="61"/>
    <x v="5"/>
    <x v="1"/>
    <x v="30"/>
    <n v="71"/>
    <n v="34"/>
    <n v="37"/>
    <x v="51"/>
    <n v="500"/>
    <x v="51"/>
    <n v="0.50800000000000001"/>
  </r>
  <r>
    <s v="Mum-TCL063"/>
    <x v="62"/>
    <x v="6"/>
    <x v="42"/>
    <x v="43"/>
    <n v="15"/>
    <n v="98"/>
    <n v="33"/>
    <x v="52"/>
    <n v="500"/>
    <x v="52"/>
    <n v="0.46599999999999997"/>
  </r>
  <r>
    <s v="Mum-TCL064"/>
    <x v="63"/>
    <x v="7"/>
    <x v="43"/>
    <x v="44"/>
    <n v="89"/>
    <n v="97"/>
    <n v="49"/>
    <x v="53"/>
    <n v="500"/>
    <x v="53"/>
    <n v="0.22999999999999998"/>
  </r>
  <r>
    <s v="Mum-TCL065"/>
    <x v="64"/>
    <x v="0"/>
    <x v="33"/>
    <x v="31"/>
    <n v="97"/>
    <n v="73"/>
    <n v="33"/>
    <x v="54"/>
    <n v="500"/>
    <x v="54"/>
    <n v="0.34399999999999997"/>
  </r>
  <r>
    <s v="Mum-TCL066"/>
    <x v="65"/>
    <x v="1"/>
    <x v="1"/>
    <x v="35"/>
    <n v="11"/>
    <n v="45"/>
    <n v="30"/>
    <x v="55"/>
    <n v="500"/>
    <x v="55"/>
    <n v="0.66799999999999993"/>
  </r>
  <r>
    <s v="Mum-TCL067"/>
    <x v="66"/>
    <x v="2"/>
    <x v="44"/>
    <x v="2"/>
    <n v="46"/>
    <n v="65"/>
    <n v="65"/>
    <x v="56"/>
    <n v="500"/>
    <x v="56"/>
    <n v="0.31599999999999995"/>
  </r>
  <r>
    <s v="Mum-TCL068"/>
    <x v="67"/>
    <x v="3"/>
    <x v="32"/>
    <x v="9"/>
    <n v="80"/>
    <n v="43"/>
    <n v="48"/>
    <x v="57"/>
    <n v="500"/>
    <x v="57"/>
    <n v="0.41400000000000003"/>
  </r>
  <r>
    <s v="Mum-TCL069"/>
    <x v="68"/>
    <x v="4"/>
    <x v="2"/>
    <x v="8"/>
    <n v="27"/>
    <n v="14"/>
    <n v="59"/>
    <x v="58"/>
    <n v="500"/>
    <x v="58"/>
    <n v="0.65799999999999992"/>
  </r>
  <r>
    <s v="Mum-TCL070"/>
    <x v="69"/>
    <x v="5"/>
    <x v="45"/>
    <x v="8"/>
    <n v="58"/>
    <n v="83"/>
    <n v="11"/>
    <x v="59"/>
    <n v="500"/>
    <x v="59"/>
    <n v="0.54200000000000004"/>
  </r>
  <r>
    <s v="Mum-TCL071"/>
    <x v="70"/>
    <x v="6"/>
    <x v="19"/>
    <x v="35"/>
    <n v="15"/>
    <n v="20"/>
    <n v="17"/>
    <x v="60"/>
    <n v="500"/>
    <x v="60"/>
    <n v="0.68799999999999994"/>
  </r>
  <r>
    <s v="Mum-TCL072"/>
    <x v="71"/>
    <x v="7"/>
    <x v="46"/>
    <x v="45"/>
    <n v="18"/>
    <n v="33"/>
    <n v="51"/>
    <x v="61"/>
    <n v="500"/>
    <x v="61"/>
    <n v="0.58400000000000007"/>
  </r>
  <r>
    <s v="Mum-TCL073"/>
    <x v="72"/>
    <x v="0"/>
    <x v="47"/>
    <x v="46"/>
    <n v="46"/>
    <n v="35"/>
    <n v="10"/>
    <x v="62"/>
    <n v="500"/>
    <x v="62"/>
    <n v="0.71399999999999997"/>
  </r>
  <r>
    <s v="Mum-TCL074"/>
    <x v="73"/>
    <x v="1"/>
    <x v="47"/>
    <x v="10"/>
    <n v="82"/>
    <n v="75"/>
    <n v="39"/>
    <x v="63"/>
    <n v="500"/>
    <x v="63"/>
    <n v="0.49199999999999999"/>
  </r>
  <r>
    <s v="Mum-TCL075"/>
    <x v="74"/>
    <x v="2"/>
    <x v="48"/>
    <x v="7"/>
    <n v="45"/>
    <n v="29"/>
    <n v="41"/>
    <x v="64"/>
    <n v="500"/>
    <x v="64"/>
    <n v="0.55200000000000005"/>
  </r>
  <r>
    <s v="Mum-TCL076"/>
    <x v="75"/>
    <x v="3"/>
    <x v="17"/>
    <x v="34"/>
    <n v="87"/>
    <n v="82"/>
    <n v="27"/>
    <x v="65"/>
    <n v="500"/>
    <x v="65"/>
    <n v="0.42600000000000005"/>
  </r>
  <r>
    <s v="Mum-TCL077"/>
    <x v="76"/>
    <x v="4"/>
    <x v="49"/>
    <x v="47"/>
    <n v="72"/>
    <n v="67"/>
    <n v="34"/>
    <x v="66"/>
    <n v="500"/>
    <x v="66"/>
    <n v="0.42800000000000005"/>
  </r>
  <r>
    <s v="Mum-TCL078"/>
    <x v="77"/>
    <x v="5"/>
    <x v="50"/>
    <x v="48"/>
    <n v="46"/>
    <n v="13"/>
    <n v="92"/>
    <x v="67"/>
    <n v="500"/>
    <x v="67"/>
    <n v="0.51"/>
  </r>
  <r>
    <s v="Mum-TCL079"/>
    <x v="78"/>
    <x v="6"/>
    <x v="22"/>
    <x v="32"/>
    <n v="72"/>
    <n v="42"/>
    <n v="45"/>
    <x v="68"/>
    <n v="500"/>
    <x v="68"/>
    <n v="0.43799999999999994"/>
  </r>
  <r>
    <s v="Mum-TCL080"/>
    <x v="79"/>
    <x v="7"/>
    <x v="37"/>
    <x v="49"/>
    <n v="63"/>
    <n v="65"/>
    <n v="83"/>
    <x v="69"/>
    <n v="500"/>
    <x v="69"/>
    <n v="0.36599999999999999"/>
  </r>
  <r>
    <s v="Mum-TCL081"/>
    <x v="80"/>
    <x v="0"/>
    <x v="51"/>
    <x v="50"/>
    <n v="45"/>
    <n v="95"/>
    <n v="46"/>
    <x v="70"/>
    <n v="500"/>
    <x v="70"/>
    <n v="0.29800000000000004"/>
  </r>
  <r>
    <s v="Mum-TCL082"/>
    <x v="81"/>
    <x v="1"/>
    <x v="52"/>
    <x v="51"/>
    <n v="68"/>
    <n v="23"/>
    <n v="21"/>
    <x v="71"/>
    <n v="500"/>
    <x v="71"/>
    <n v="0.58200000000000007"/>
  </r>
  <r>
    <s v="Mum-TCL083"/>
    <x v="82"/>
    <x v="2"/>
    <x v="53"/>
    <x v="49"/>
    <n v="64"/>
    <n v="53"/>
    <n v="13"/>
    <x v="72"/>
    <n v="500"/>
    <x v="72"/>
    <n v="0.42000000000000004"/>
  </r>
  <r>
    <s v="Mum-TCL084"/>
    <x v="83"/>
    <x v="3"/>
    <x v="54"/>
    <x v="52"/>
    <n v="88"/>
    <n v="89"/>
    <n v="63"/>
    <x v="73"/>
    <n v="500"/>
    <x v="73"/>
    <n v="0.23199999999999998"/>
  </r>
  <r>
    <s v="Mum-TCL085"/>
    <x v="84"/>
    <x v="4"/>
    <x v="55"/>
    <x v="21"/>
    <n v="62"/>
    <n v="80"/>
    <n v="81"/>
    <x v="74"/>
    <n v="500"/>
    <x v="74"/>
    <n v="0.30200000000000005"/>
  </r>
  <r>
    <s v="Mum-TCL086"/>
    <x v="85"/>
    <x v="5"/>
    <x v="56"/>
    <x v="53"/>
    <n v="59"/>
    <n v="58"/>
    <n v="33"/>
    <x v="75"/>
    <n v="500"/>
    <x v="75"/>
    <n v="0.57000000000000006"/>
  </r>
  <r>
    <s v="Mum-TCL087"/>
    <x v="86"/>
    <x v="6"/>
    <x v="40"/>
    <x v="47"/>
    <n v="43"/>
    <n v="63"/>
    <n v="54"/>
    <x v="71"/>
    <n v="500"/>
    <x v="71"/>
    <n v="0.58200000000000007"/>
  </r>
  <r>
    <s v="Mum-TCL088"/>
    <x v="87"/>
    <x v="7"/>
    <x v="46"/>
    <x v="2"/>
    <n v="65"/>
    <n v="57"/>
    <n v="73"/>
    <x v="13"/>
    <n v="500"/>
    <x v="13"/>
    <n v="0.38800000000000001"/>
  </r>
  <r>
    <s v="Mum-TCL089"/>
    <x v="88"/>
    <x v="0"/>
    <x v="25"/>
    <x v="32"/>
    <n v="58"/>
    <n v="36"/>
    <n v="33"/>
    <x v="68"/>
    <n v="500"/>
    <x v="68"/>
    <n v="0.43799999999999994"/>
  </r>
  <r>
    <s v="Mum-TCL090"/>
    <x v="89"/>
    <x v="1"/>
    <x v="16"/>
    <x v="15"/>
    <n v="49"/>
    <n v="90"/>
    <n v="99"/>
    <x v="76"/>
    <n v="500"/>
    <x v="76"/>
    <n v="0.36399999999999999"/>
  </r>
  <r>
    <s v="Mum-TCL091"/>
    <x v="90"/>
    <x v="2"/>
    <x v="34"/>
    <x v="18"/>
    <n v="21"/>
    <n v="72"/>
    <n v="54"/>
    <x v="49"/>
    <n v="500"/>
    <x v="49"/>
    <n v="0.4"/>
  </r>
  <r>
    <s v="Mum-TCL092"/>
    <x v="91"/>
    <x v="3"/>
    <x v="18"/>
    <x v="54"/>
    <n v="38"/>
    <n v="98"/>
    <n v="10"/>
    <x v="68"/>
    <n v="500"/>
    <x v="68"/>
    <n v="0.43799999999999994"/>
  </r>
  <r>
    <s v="Mum-TCL093"/>
    <x v="92"/>
    <x v="4"/>
    <x v="39"/>
    <x v="55"/>
    <n v="20"/>
    <n v="32"/>
    <n v="95"/>
    <x v="67"/>
    <n v="500"/>
    <x v="67"/>
    <n v="0.51"/>
  </r>
  <r>
    <s v="Mum-TCL094"/>
    <x v="93"/>
    <x v="5"/>
    <x v="57"/>
    <x v="38"/>
    <n v="20"/>
    <n v="31"/>
    <n v="44"/>
    <x v="77"/>
    <n v="500"/>
    <x v="77"/>
    <n v="0.59000000000000008"/>
  </r>
  <r>
    <s v="Mum-TCL095"/>
    <x v="94"/>
    <x v="6"/>
    <x v="15"/>
    <x v="30"/>
    <n v="50"/>
    <n v="68"/>
    <n v="19"/>
    <x v="78"/>
    <n v="500"/>
    <x v="78"/>
    <n v="0.53200000000000003"/>
  </r>
  <r>
    <s v="Mum-TCL096"/>
    <x v="95"/>
    <x v="7"/>
    <x v="4"/>
    <x v="2"/>
    <n v="17"/>
    <n v="85"/>
    <n v="16"/>
    <x v="35"/>
    <n v="500"/>
    <x v="35"/>
    <n v="0.53600000000000003"/>
  </r>
  <r>
    <s v="Mum-TCL097"/>
    <x v="96"/>
    <x v="0"/>
    <x v="58"/>
    <x v="56"/>
    <n v="56"/>
    <n v="85"/>
    <n v="25"/>
    <x v="67"/>
    <n v="500"/>
    <x v="67"/>
    <n v="0.51"/>
  </r>
  <r>
    <s v="Mum-TCL098"/>
    <x v="97"/>
    <x v="1"/>
    <x v="37"/>
    <x v="49"/>
    <n v="86"/>
    <n v="69"/>
    <n v="25"/>
    <x v="66"/>
    <n v="500"/>
    <x v="66"/>
    <n v="0.42800000000000005"/>
  </r>
  <r>
    <s v="Mum-TCL099"/>
    <x v="98"/>
    <x v="2"/>
    <x v="35"/>
    <x v="7"/>
    <n v="81"/>
    <n v="32"/>
    <n v="76"/>
    <x v="79"/>
    <n v="500"/>
    <x v="79"/>
    <n v="0.39400000000000002"/>
  </r>
  <r>
    <s v="Mum-TCL100"/>
    <x v="99"/>
    <x v="3"/>
    <x v="59"/>
    <x v="57"/>
    <n v="43"/>
    <n v="91"/>
    <n v="47"/>
    <x v="76"/>
    <n v="500"/>
    <x v="76"/>
    <n v="0.36399999999999999"/>
  </r>
  <r>
    <s v="Mum-TCL101"/>
    <x v="100"/>
    <x v="4"/>
    <x v="0"/>
    <x v="12"/>
    <n v="18"/>
    <n v="69"/>
    <n v="55"/>
    <x v="80"/>
    <n v="500"/>
    <x v="80"/>
    <n v="0.46399999999999997"/>
  </r>
  <r>
    <s v="Mum-TCL102"/>
    <x v="101"/>
    <x v="5"/>
    <x v="54"/>
    <x v="11"/>
    <n v="19"/>
    <n v="95"/>
    <n v="39"/>
    <x v="46"/>
    <n v="500"/>
    <x v="46"/>
    <n v="0.35599999999999998"/>
  </r>
  <r>
    <s v="Mum-TCL103"/>
    <x v="102"/>
    <x v="6"/>
    <x v="60"/>
    <x v="38"/>
    <n v="41"/>
    <n v="40"/>
    <n v="70"/>
    <x v="81"/>
    <n v="500"/>
    <x v="81"/>
    <n v="0.56000000000000005"/>
  </r>
  <r>
    <s v="Mum-TCL104"/>
    <x v="103"/>
    <x v="7"/>
    <x v="5"/>
    <x v="28"/>
    <n v="99"/>
    <n v="25"/>
    <n v="83"/>
    <x v="13"/>
    <n v="500"/>
    <x v="13"/>
    <n v="0.38800000000000001"/>
  </r>
  <r>
    <s v="Mum-TCL105"/>
    <x v="104"/>
    <x v="0"/>
    <x v="36"/>
    <x v="58"/>
    <n v="16"/>
    <n v="65"/>
    <n v="86"/>
    <x v="70"/>
    <n v="500"/>
    <x v="70"/>
    <n v="0.29800000000000004"/>
  </r>
  <r>
    <s v="Mum-TCL106"/>
    <x v="105"/>
    <x v="1"/>
    <x v="61"/>
    <x v="18"/>
    <n v="34"/>
    <n v="30"/>
    <n v="30"/>
    <x v="82"/>
    <n v="500"/>
    <x v="82"/>
    <n v="0.54400000000000004"/>
  </r>
  <r>
    <s v="Mum-TCL107"/>
    <x v="106"/>
    <x v="2"/>
    <x v="61"/>
    <x v="59"/>
    <n v="53"/>
    <n v="78"/>
    <n v="91"/>
    <x v="83"/>
    <n v="500"/>
    <x v="83"/>
    <n v="0.252"/>
  </r>
  <r>
    <s v="Mum-TCL108"/>
    <x v="107"/>
    <x v="3"/>
    <x v="43"/>
    <x v="60"/>
    <n v="27"/>
    <n v="26"/>
    <n v="30"/>
    <x v="84"/>
    <n v="500"/>
    <x v="84"/>
    <n v="0.57800000000000007"/>
  </r>
  <r>
    <s v="Mum-TCL109"/>
    <x v="108"/>
    <x v="4"/>
    <x v="62"/>
    <x v="5"/>
    <n v="41"/>
    <n v="57"/>
    <n v="83"/>
    <x v="85"/>
    <n v="500"/>
    <x v="85"/>
    <n v="0.52800000000000002"/>
  </r>
  <r>
    <s v="Mum-TCL110"/>
    <x v="109"/>
    <x v="5"/>
    <x v="12"/>
    <x v="61"/>
    <n v="32"/>
    <n v="83"/>
    <n v="95"/>
    <x v="86"/>
    <n v="500"/>
    <x v="86"/>
    <n v="0.29000000000000004"/>
  </r>
  <r>
    <s v="Mum-TCL111"/>
    <x v="110"/>
    <x v="6"/>
    <x v="55"/>
    <x v="9"/>
    <n v="72"/>
    <n v="99"/>
    <n v="58"/>
    <x v="87"/>
    <n v="500"/>
    <x v="87"/>
    <n v="0.36"/>
  </r>
  <r>
    <s v="Mum-TCL112"/>
    <x v="111"/>
    <x v="7"/>
    <x v="18"/>
    <x v="45"/>
    <n v="85"/>
    <n v="47"/>
    <n v="90"/>
    <x v="88"/>
    <n v="500"/>
    <x v="88"/>
    <n v="0.22199999999999998"/>
  </r>
  <r>
    <s v="Mum-TCL113"/>
    <x v="112"/>
    <x v="0"/>
    <x v="42"/>
    <x v="11"/>
    <n v="35"/>
    <n v="54"/>
    <n v="91"/>
    <x v="89"/>
    <n v="500"/>
    <x v="89"/>
    <n v="0.378"/>
  </r>
  <r>
    <s v="Mum-TCL114"/>
    <x v="113"/>
    <x v="1"/>
    <x v="44"/>
    <x v="47"/>
    <n v="11"/>
    <n v="42"/>
    <n v="88"/>
    <x v="90"/>
    <n v="500"/>
    <x v="90"/>
    <n v="0.51400000000000001"/>
  </r>
  <r>
    <s v="Mum-TCL115"/>
    <x v="114"/>
    <x v="2"/>
    <x v="2"/>
    <x v="57"/>
    <n v="61"/>
    <n v="11"/>
    <n v="52"/>
    <x v="31"/>
    <n v="500"/>
    <x v="31"/>
    <n v="0.57200000000000006"/>
  </r>
  <r>
    <s v="Mum-TCL116"/>
    <x v="115"/>
    <x v="3"/>
    <x v="51"/>
    <x v="54"/>
    <n v="17"/>
    <n v="57"/>
    <n v="96"/>
    <x v="91"/>
    <n v="500"/>
    <x v="91"/>
    <n v="0.43400000000000005"/>
  </r>
  <r>
    <s v="Mum-TCL117"/>
    <x v="116"/>
    <x v="4"/>
    <x v="63"/>
    <x v="62"/>
    <n v="17"/>
    <n v="28"/>
    <n v="30"/>
    <x v="55"/>
    <n v="500"/>
    <x v="55"/>
    <n v="0.66799999999999993"/>
  </r>
  <r>
    <s v="Mum-TCL118"/>
    <x v="117"/>
    <x v="5"/>
    <x v="63"/>
    <x v="63"/>
    <n v="89"/>
    <n v="71"/>
    <n v="33"/>
    <x v="92"/>
    <n v="500"/>
    <x v="92"/>
    <n v="0.43999999999999995"/>
  </r>
  <r>
    <s v="Mum-TCL119"/>
    <x v="118"/>
    <x v="6"/>
    <x v="18"/>
    <x v="46"/>
    <n v="93"/>
    <n v="31"/>
    <n v="30"/>
    <x v="93"/>
    <n v="500"/>
    <x v="93"/>
    <n v="0.48399999999999999"/>
  </r>
  <r>
    <s v="Mum-TCL120"/>
    <x v="119"/>
    <x v="7"/>
    <x v="27"/>
    <x v="64"/>
    <n v="48"/>
    <n v="96"/>
    <n v="15"/>
    <x v="94"/>
    <n v="500"/>
    <x v="94"/>
    <n v="0.36799999999999999"/>
  </r>
  <r>
    <s v="Mum-TCL121"/>
    <x v="120"/>
    <x v="0"/>
    <x v="30"/>
    <x v="22"/>
    <n v="33"/>
    <n v="55"/>
    <n v="83"/>
    <x v="49"/>
    <n v="500"/>
    <x v="49"/>
    <n v="0.4"/>
  </r>
  <r>
    <s v="Mum-TCL122"/>
    <x v="121"/>
    <x v="1"/>
    <x v="64"/>
    <x v="50"/>
    <n v="45"/>
    <n v="70"/>
    <n v="98"/>
    <x v="95"/>
    <n v="500"/>
    <x v="95"/>
    <n v="0.34599999999999997"/>
  </r>
  <r>
    <s v="Mum-TCL123"/>
    <x v="122"/>
    <x v="2"/>
    <x v="65"/>
    <x v="49"/>
    <n v="26"/>
    <n v="68"/>
    <n v="22"/>
    <x v="64"/>
    <n v="500"/>
    <x v="64"/>
    <n v="0.55200000000000005"/>
  </r>
  <r>
    <s v="Mum-TCL124"/>
    <x v="123"/>
    <x v="3"/>
    <x v="63"/>
    <x v="33"/>
    <n v="61"/>
    <n v="92"/>
    <n v="50"/>
    <x v="67"/>
    <n v="500"/>
    <x v="67"/>
    <n v="0.51"/>
  </r>
  <r>
    <s v="Mum-TCL125"/>
    <x v="124"/>
    <x v="4"/>
    <x v="58"/>
    <x v="41"/>
    <n v="75"/>
    <n v="66"/>
    <n v="75"/>
    <x v="96"/>
    <n v="500"/>
    <x v="96"/>
    <n v="0.39600000000000002"/>
  </r>
  <r>
    <s v="Mum-TCL126"/>
    <x v="125"/>
    <x v="5"/>
    <x v="47"/>
    <x v="24"/>
    <n v="48"/>
    <n v="70"/>
    <n v="48"/>
    <x v="97"/>
    <n v="500"/>
    <x v="97"/>
    <n v="0.45399999999999996"/>
  </r>
  <r>
    <s v="Mum-TCL127"/>
    <x v="126"/>
    <x v="6"/>
    <x v="66"/>
    <x v="64"/>
    <n v="32"/>
    <n v="60"/>
    <n v="78"/>
    <x v="46"/>
    <n v="500"/>
    <x v="46"/>
    <n v="0.35599999999999998"/>
  </r>
  <r>
    <s v="Mum-TCL128"/>
    <x v="127"/>
    <x v="7"/>
    <x v="67"/>
    <x v="65"/>
    <n v="19"/>
    <n v="82"/>
    <n v="16"/>
    <x v="20"/>
    <n v="500"/>
    <x v="20"/>
    <n v="0.63400000000000001"/>
  </r>
  <r>
    <s v="Mum-TCL129"/>
    <x v="128"/>
    <x v="0"/>
    <x v="63"/>
    <x v="1"/>
    <n v="75"/>
    <n v="83"/>
    <n v="37"/>
    <x v="13"/>
    <n v="500"/>
    <x v="13"/>
    <n v="0.38800000000000001"/>
  </r>
  <r>
    <s v="Mum-TCL130"/>
    <x v="129"/>
    <x v="1"/>
    <x v="54"/>
    <x v="66"/>
    <n v="74"/>
    <n v="72"/>
    <n v="12"/>
    <x v="98"/>
    <n v="500"/>
    <x v="98"/>
    <n v="0.38600000000000001"/>
  </r>
  <r>
    <s v="Mum-TCL131"/>
    <x v="130"/>
    <x v="2"/>
    <x v="68"/>
    <x v="2"/>
    <n v="99"/>
    <n v="60"/>
    <n v="27"/>
    <x v="86"/>
    <n v="500"/>
    <x v="86"/>
    <n v="0.29000000000000004"/>
  </r>
  <r>
    <s v="Mum-TCL132"/>
    <x v="131"/>
    <x v="3"/>
    <x v="51"/>
    <x v="67"/>
    <n v="70"/>
    <n v="53"/>
    <n v="49"/>
    <x v="33"/>
    <n v="500"/>
    <x v="33"/>
    <n v="0.47199999999999998"/>
  </r>
  <r>
    <s v="Mum-TCL133"/>
    <x v="132"/>
    <x v="4"/>
    <x v="5"/>
    <x v="30"/>
    <n v="59"/>
    <n v="51"/>
    <n v="90"/>
    <x v="99"/>
    <n v="500"/>
    <x v="99"/>
    <n v="0.30800000000000005"/>
  </r>
  <r>
    <s v="Mum-TCL134"/>
    <x v="133"/>
    <x v="5"/>
    <x v="19"/>
    <x v="63"/>
    <n v="12"/>
    <n v="41"/>
    <n v="35"/>
    <x v="50"/>
    <n v="500"/>
    <x v="50"/>
    <n v="0.56600000000000006"/>
  </r>
  <r>
    <s v="Mum-TCL135"/>
    <x v="134"/>
    <x v="6"/>
    <x v="27"/>
    <x v="17"/>
    <n v="15"/>
    <n v="86"/>
    <n v="71"/>
    <x v="100"/>
    <n v="500"/>
    <x v="100"/>
    <n v="0.45799999999999996"/>
  </r>
  <r>
    <s v="Mum-TCL136"/>
    <x v="135"/>
    <x v="7"/>
    <x v="30"/>
    <x v="67"/>
    <n v="59"/>
    <n v="85"/>
    <n v="60"/>
    <x v="94"/>
    <n v="500"/>
    <x v="94"/>
    <n v="0.36799999999999999"/>
  </r>
  <r>
    <s v="Mum-TCL137"/>
    <x v="136"/>
    <x v="0"/>
    <x v="7"/>
    <x v="36"/>
    <n v="49"/>
    <n v="56"/>
    <n v="43"/>
    <x v="3"/>
    <n v="500"/>
    <x v="3"/>
    <n v="0.42400000000000004"/>
  </r>
  <r>
    <s v="Mum-TCL138"/>
    <x v="137"/>
    <x v="1"/>
    <x v="25"/>
    <x v="51"/>
    <n v="93"/>
    <n v="95"/>
    <n v="73"/>
    <x v="101"/>
    <n v="500"/>
    <x v="101"/>
    <n v="0.23599999999999999"/>
  </r>
  <r>
    <s v="Mum-TCL139"/>
    <x v="138"/>
    <x v="2"/>
    <x v="69"/>
    <x v="68"/>
    <n v="74"/>
    <n v="26"/>
    <n v="88"/>
    <x v="94"/>
    <n v="500"/>
    <x v="94"/>
    <n v="0.36799999999999999"/>
  </r>
  <r>
    <s v="Mum-TCL140"/>
    <x v="139"/>
    <x v="3"/>
    <x v="53"/>
    <x v="69"/>
    <n v="10"/>
    <n v="65"/>
    <n v="83"/>
    <x v="94"/>
    <n v="500"/>
    <x v="94"/>
    <n v="0.36799999999999999"/>
  </r>
  <r>
    <s v="Mum-TCL141"/>
    <x v="140"/>
    <x v="4"/>
    <x v="56"/>
    <x v="9"/>
    <n v="57"/>
    <n v="67"/>
    <n v="64"/>
    <x v="66"/>
    <n v="500"/>
    <x v="66"/>
    <n v="0.4280000000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x v="0"/>
    <x v="0"/>
    <n v="0.32199999999999995"/>
  </r>
  <r>
    <s v="Mum-TCL002"/>
    <x v="1"/>
    <x v="1"/>
    <n v="44"/>
    <n v="85"/>
    <n v="47"/>
    <n v="15"/>
    <n v="48"/>
    <x v="1"/>
    <x v="0"/>
    <x v="1"/>
    <n v="0.52200000000000002"/>
  </r>
  <r>
    <s v="Mum-TCL003"/>
    <x v="2"/>
    <x v="2"/>
    <n v="45"/>
    <n v="79"/>
    <n v="88"/>
    <n v="73"/>
    <n v="94"/>
    <x v="2"/>
    <x v="0"/>
    <x v="2"/>
    <n v="0.24199999999999999"/>
  </r>
  <r>
    <s v="Mum-TCL004"/>
    <x v="3"/>
    <x v="3"/>
    <n v="52"/>
    <n v="99"/>
    <n v="13"/>
    <n v="95"/>
    <n v="29"/>
    <x v="3"/>
    <x v="0"/>
    <x v="3"/>
    <n v="0.42400000000000004"/>
  </r>
  <r>
    <s v="Mum-TCL005"/>
    <x v="4"/>
    <x v="4"/>
    <n v="35"/>
    <n v="54"/>
    <n v="49"/>
    <n v="26"/>
    <n v="49"/>
    <x v="4"/>
    <x v="0"/>
    <x v="4"/>
    <n v="0.57400000000000007"/>
  </r>
  <r>
    <s v="Mum-TCL006"/>
    <x v="5"/>
    <x v="5"/>
    <n v="86"/>
    <n v="31"/>
    <n v="23"/>
    <n v="48"/>
    <n v="77"/>
    <x v="5"/>
    <x v="0"/>
    <x v="5"/>
    <n v="0.47"/>
  </r>
  <r>
    <s v="Mum-TCL007"/>
    <x v="6"/>
    <x v="6"/>
    <n v="84"/>
    <n v="28"/>
    <n v="98"/>
    <n v="80"/>
    <n v="79"/>
    <x v="6"/>
    <x v="0"/>
    <x v="6"/>
    <n v="0.26200000000000001"/>
  </r>
  <r>
    <s v="Mum-TCL008"/>
    <x v="7"/>
    <x v="7"/>
    <n v="73"/>
    <n v="97"/>
    <n v="38"/>
    <n v="24"/>
    <n v="53"/>
    <x v="7"/>
    <x v="0"/>
    <x v="7"/>
    <n v="0.43000000000000005"/>
  </r>
  <r>
    <s v="Mum-TCL009"/>
    <x v="8"/>
    <x v="0"/>
    <n v="54"/>
    <n v="26"/>
    <n v="53"/>
    <n v="36"/>
    <n v="20"/>
    <x v="8"/>
    <x v="0"/>
    <x v="8"/>
    <n v="0.622"/>
  </r>
  <r>
    <s v="Mum-TCL010"/>
    <x v="9"/>
    <x v="1"/>
    <n v="52"/>
    <n v="52"/>
    <n v="19"/>
    <n v="53"/>
    <n v="37"/>
    <x v="4"/>
    <x v="0"/>
    <x v="4"/>
    <n v="0.57400000000000007"/>
  </r>
  <r>
    <s v="Mum-TCL011"/>
    <x v="10"/>
    <x v="2"/>
    <n v="63"/>
    <n v="17"/>
    <n v="40"/>
    <n v="48"/>
    <n v="51"/>
    <x v="9"/>
    <x v="0"/>
    <x v="9"/>
    <n v="0.56200000000000006"/>
  </r>
  <r>
    <s v="Mum-TCL012"/>
    <x v="11"/>
    <x v="3"/>
    <n v="79"/>
    <n v="99"/>
    <n v="95"/>
    <n v="12"/>
    <n v="91"/>
    <x v="10"/>
    <x v="0"/>
    <x v="10"/>
    <n v="0.248"/>
  </r>
  <r>
    <s v="Mum-TCL013"/>
    <x v="12"/>
    <x v="4"/>
    <n v="95"/>
    <n v="88"/>
    <n v="11"/>
    <n v="78"/>
    <n v="60"/>
    <x v="11"/>
    <x v="0"/>
    <x v="11"/>
    <n v="0.33599999999999997"/>
  </r>
  <r>
    <s v="Mum-TCL014"/>
    <x v="13"/>
    <x v="5"/>
    <n v="83"/>
    <n v="77"/>
    <n v="66"/>
    <n v="22"/>
    <n v="40"/>
    <x v="3"/>
    <x v="0"/>
    <x v="3"/>
    <n v="0.42400000000000004"/>
  </r>
  <r>
    <s v="Mum-TCL015"/>
    <x v="14"/>
    <x v="6"/>
    <n v="78"/>
    <n v="58"/>
    <n v="34"/>
    <n v="84"/>
    <n v="31"/>
    <x v="7"/>
    <x v="0"/>
    <x v="7"/>
    <n v="0.43000000000000005"/>
  </r>
  <r>
    <s v="Mum-TCL016"/>
    <x v="15"/>
    <x v="7"/>
    <n v="14"/>
    <n v="25"/>
    <n v="45"/>
    <n v="70"/>
    <n v="45"/>
    <x v="12"/>
    <x v="0"/>
    <x v="12"/>
    <n v="0.60199999999999998"/>
  </r>
  <r>
    <s v="Mum-TCL017"/>
    <x v="16"/>
    <x v="0"/>
    <n v="37"/>
    <n v="69"/>
    <n v="96"/>
    <n v="66"/>
    <n v="38"/>
    <x v="13"/>
    <x v="0"/>
    <x v="13"/>
    <n v="0.38800000000000001"/>
  </r>
  <r>
    <s v="Mum-TCL018"/>
    <x v="17"/>
    <x v="1"/>
    <n v="11"/>
    <n v="46"/>
    <n v="91"/>
    <n v="98"/>
    <n v="45"/>
    <x v="14"/>
    <x v="0"/>
    <x v="14"/>
    <n v="0.41800000000000004"/>
  </r>
  <r>
    <s v="Mum-TCL019"/>
    <x v="18"/>
    <x v="2"/>
    <n v="19"/>
    <n v="34"/>
    <n v="64"/>
    <n v="65"/>
    <n v="70"/>
    <x v="15"/>
    <x v="0"/>
    <x v="15"/>
    <n v="0.496"/>
  </r>
  <r>
    <s v="Mum-TCL020"/>
    <x v="19"/>
    <x v="3"/>
    <n v="93"/>
    <n v="84"/>
    <n v="13"/>
    <n v="45"/>
    <n v="18"/>
    <x v="16"/>
    <x v="0"/>
    <x v="16"/>
    <n v="0.49399999999999999"/>
  </r>
  <r>
    <s v="Mum-TCL021"/>
    <x v="20"/>
    <x v="4"/>
    <n v="68"/>
    <n v="73"/>
    <n v="97"/>
    <n v="76"/>
    <n v="53"/>
    <x v="17"/>
    <x v="0"/>
    <x v="17"/>
    <n v="0.26600000000000001"/>
  </r>
  <r>
    <s v="Mum-TCL022"/>
    <x v="21"/>
    <x v="5"/>
    <n v="99"/>
    <n v="17"/>
    <n v="48"/>
    <n v="44"/>
    <n v="93"/>
    <x v="18"/>
    <x v="0"/>
    <x v="18"/>
    <n v="0.39800000000000002"/>
  </r>
  <r>
    <s v="Mum-TCL023"/>
    <x v="22"/>
    <x v="6"/>
    <n v="57"/>
    <n v="28"/>
    <n v="31"/>
    <n v="34"/>
    <n v="52"/>
    <x v="19"/>
    <x v="0"/>
    <x v="19"/>
    <n v="0.59599999999999997"/>
  </r>
  <r>
    <s v="Mum-TCL024"/>
    <x v="23"/>
    <x v="7"/>
    <n v="40"/>
    <n v="22"/>
    <n v="18"/>
    <n v="11"/>
    <n v="92"/>
    <x v="20"/>
    <x v="0"/>
    <x v="20"/>
    <n v="0.63400000000000001"/>
  </r>
  <r>
    <s v="Mum-TCL025"/>
    <x v="24"/>
    <x v="0"/>
    <n v="47"/>
    <n v="99"/>
    <n v="94"/>
    <n v="75"/>
    <n v="29"/>
    <x v="21"/>
    <x v="0"/>
    <x v="21"/>
    <n v="0.31200000000000006"/>
  </r>
  <r>
    <s v="Mum-TCL026"/>
    <x v="25"/>
    <x v="1"/>
    <n v="16"/>
    <n v="71"/>
    <n v="80"/>
    <n v="76"/>
    <n v="33"/>
    <x v="22"/>
    <x v="0"/>
    <x v="22"/>
    <n v="0.44799999999999995"/>
  </r>
  <r>
    <s v="Mum-TCL027"/>
    <x v="26"/>
    <x v="2"/>
    <n v="72"/>
    <n v="87"/>
    <n v="92"/>
    <n v="72"/>
    <n v="34"/>
    <x v="23"/>
    <x v="0"/>
    <x v="23"/>
    <n v="0.28600000000000003"/>
  </r>
  <r>
    <s v="Mum-TCL028"/>
    <x v="27"/>
    <x v="3"/>
    <n v="30"/>
    <n v="38"/>
    <n v="70"/>
    <n v="89"/>
    <n v="97"/>
    <x v="24"/>
    <x v="0"/>
    <x v="24"/>
    <n v="0.35199999999999998"/>
  </r>
  <r>
    <s v="Mum-TCL029"/>
    <x v="28"/>
    <x v="4"/>
    <n v="65"/>
    <n v="90"/>
    <n v="91"/>
    <n v="85"/>
    <n v="10"/>
    <x v="25"/>
    <x v="0"/>
    <x v="25"/>
    <n v="0.31799999999999995"/>
  </r>
  <r>
    <s v="Mum-TCL030"/>
    <x v="29"/>
    <x v="5"/>
    <n v="83"/>
    <n v="46"/>
    <n v="99"/>
    <n v="36"/>
    <n v="89"/>
    <x v="26"/>
    <x v="0"/>
    <x v="26"/>
    <n v="0.29400000000000004"/>
  </r>
  <r>
    <s v="Mum-TCL031"/>
    <x v="30"/>
    <x v="6"/>
    <n v="10"/>
    <n v="66"/>
    <n v="40"/>
    <n v="22"/>
    <n v="38"/>
    <x v="27"/>
    <x v="0"/>
    <x v="27"/>
    <n v="0.64800000000000002"/>
  </r>
  <r>
    <s v="Mum-TCL032"/>
    <x v="31"/>
    <x v="7"/>
    <n v="37"/>
    <n v="30"/>
    <n v="19"/>
    <n v="77"/>
    <n v="67"/>
    <x v="28"/>
    <x v="0"/>
    <x v="28"/>
    <n v="0.54"/>
  </r>
  <r>
    <s v="Mum-TCL033"/>
    <x v="32"/>
    <x v="0"/>
    <n v="83"/>
    <n v="46"/>
    <n v="17"/>
    <n v="94"/>
    <n v="92"/>
    <x v="11"/>
    <x v="0"/>
    <x v="11"/>
    <n v="0.33599999999999997"/>
  </r>
  <r>
    <s v="Mum-TCL034"/>
    <x v="33"/>
    <x v="1"/>
    <n v="84"/>
    <n v="59"/>
    <n v="41"/>
    <n v="17"/>
    <n v="22"/>
    <x v="29"/>
    <x v="0"/>
    <x v="29"/>
    <n v="0.55400000000000005"/>
  </r>
  <r>
    <s v="Mum-TCL035"/>
    <x v="34"/>
    <x v="2"/>
    <n v="82"/>
    <n v="54"/>
    <n v="79"/>
    <n v="61"/>
    <n v="47"/>
    <x v="30"/>
    <x v="0"/>
    <x v="30"/>
    <n v="0.35399999999999998"/>
  </r>
  <r>
    <s v="Mum-TCL036"/>
    <x v="35"/>
    <x v="3"/>
    <n v="47"/>
    <n v="23"/>
    <n v="19"/>
    <n v="64"/>
    <n v="61"/>
    <x v="31"/>
    <x v="0"/>
    <x v="31"/>
    <n v="0.57200000000000006"/>
  </r>
  <r>
    <s v="Mum-TCL037"/>
    <x v="36"/>
    <x v="4"/>
    <n v="91"/>
    <n v="13"/>
    <n v="79"/>
    <n v="85"/>
    <n v="67"/>
    <x v="32"/>
    <x v="0"/>
    <x v="32"/>
    <n v="0.32999999999999996"/>
  </r>
  <r>
    <s v="Mum-TCL038"/>
    <x v="37"/>
    <x v="5"/>
    <n v="66"/>
    <n v="59"/>
    <n v="25"/>
    <n v="55"/>
    <n v="59"/>
    <x v="33"/>
    <x v="0"/>
    <x v="33"/>
    <n v="0.47199999999999998"/>
  </r>
  <r>
    <s v="Mum-TCL039"/>
    <x v="38"/>
    <x v="6"/>
    <n v="70"/>
    <n v="18"/>
    <n v="88"/>
    <n v="46"/>
    <n v="52"/>
    <x v="34"/>
    <x v="0"/>
    <x v="34"/>
    <n v="0.45199999999999996"/>
  </r>
  <r>
    <s v="Mum-TCL040"/>
    <x v="39"/>
    <x v="7"/>
    <n v="37"/>
    <n v="60"/>
    <n v="44"/>
    <n v="61"/>
    <n v="30"/>
    <x v="35"/>
    <x v="0"/>
    <x v="35"/>
    <n v="0.53600000000000003"/>
  </r>
  <r>
    <s v="Mum-TCL041"/>
    <x v="40"/>
    <x v="0"/>
    <n v="16"/>
    <n v="46"/>
    <n v="33"/>
    <n v="54"/>
    <n v="58"/>
    <x v="36"/>
    <x v="0"/>
    <x v="36"/>
    <n v="0.58600000000000008"/>
  </r>
  <r>
    <s v="Mum-TCL042"/>
    <x v="41"/>
    <x v="1"/>
    <n v="47"/>
    <n v="97"/>
    <n v="74"/>
    <n v="97"/>
    <n v="56"/>
    <x v="37"/>
    <x v="0"/>
    <x v="37"/>
    <n v="0.25800000000000001"/>
  </r>
  <r>
    <s v="Mum-TCL043"/>
    <x v="42"/>
    <x v="2"/>
    <n v="86"/>
    <n v="22"/>
    <n v="10"/>
    <n v="60"/>
    <n v="28"/>
    <x v="38"/>
    <x v="0"/>
    <x v="38"/>
    <n v="0.58800000000000008"/>
  </r>
  <r>
    <s v="Mum-TCL044"/>
    <x v="43"/>
    <x v="3"/>
    <n v="74"/>
    <n v="17"/>
    <n v="45"/>
    <n v="64"/>
    <n v="13"/>
    <x v="4"/>
    <x v="0"/>
    <x v="4"/>
    <n v="0.57400000000000007"/>
  </r>
  <r>
    <s v="Mum-TCL045"/>
    <x v="44"/>
    <x v="4"/>
    <n v="80"/>
    <n v="51"/>
    <n v="15"/>
    <n v="97"/>
    <n v="42"/>
    <x v="7"/>
    <x v="0"/>
    <x v="7"/>
    <n v="0.43000000000000005"/>
  </r>
  <r>
    <s v="Mum-TCL046"/>
    <x v="45"/>
    <x v="5"/>
    <n v="49"/>
    <n v="82"/>
    <n v="95"/>
    <n v="46"/>
    <n v="78"/>
    <x v="39"/>
    <x v="0"/>
    <x v="39"/>
    <n v="0.30000000000000004"/>
  </r>
  <r>
    <s v="Mum-TCL047"/>
    <x v="46"/>
    <x v="6"/>
    <n v="17"/>
    <n v="88"/>
    <n v="12"/>
    <n v="54"/>
    <n v="21"/>
    <x v="40"/>
    <x v="0"/>
    <x v="40"/>
    <n v="0.61599999999999999"/>
  </r>
  <r>
    <s v="Mum-TCL048"/>
    <x v="47"/>
    <x v="7"/>
    <n v="74"/>
    <n v="16"/>
    <n v="74"/>
    <n v="36"/>
    <n v="33"/>
    <x v="41"/>
    <x v="0"/>
    <x v="41"/>
    <n v="0.53400000000000003"/>
  </r>
  <r>
    <s v="Mum-TCL049"/>
    <x v="48"/>
    <x v="0"/>
    <n v="73"/>
    <n v="72"/>
    <n v="38"/>
    <n v="19"/>
    <n v="90"/>
    <x v="42"/>
    <x v="0"/>
    <x v="42"/>
    <n v="0.41600000000000004"/>
  </r>
  <r>
    <s v="Mum-TCL050"/>
    <x v="49"/>
    <x v="1"/>
    <n v="17"/>
    <n v="84"/>
    <n v="90"/>
    <n v="77"/>
    <n v="72"/>
    <x v="43"/>
    <x v="0"/>
    <x v="43"/>
    <n v="0.31999999999999995"/>
  </r>
  <r>
    <s v="Mum-TCL051"/>
    <x v="50"/>
    <x v="2"/>
    <n v="52"/>
    <n v="36"/>
    <n v="84"/>
    <n v="41"/>
    <n v="57"/>
    <x v="44"/>
    <x v="0"/>
    <x v="44"/>
    <n v="0.45999999999999996"/>
  </r>
  <r>
    <s v="Mum-TCL052"/>
    <x v="51"/>
    <x v="3"/>
    <n v="65"/>
    <n v="67"/>
    <n v="72"/>
    <n v="22"/>
    <n v="23"/>
    <x v="45"/>
    <x v="0"/>
    <x v="45"/>
    <n v="0.502"/>
  </r>
  <r>
    <s v="Mum-TCL053"/>
    <x v="52"/>
    <x v="4"/>
    <n v="88"/>
    <n v="39"/>
    <n v="25"/>
    <n v="99"/>
    <n v="71"/>
    <x v="46"/>
    <x v="0"/>
    <x v="46"/>
    <n v="0.35599999999999998"/>
  </r>
  <r>
    <s v="Mum-TCL054"/>
    <x v="53"/>
    <x v="5"/>
    <n v="23"/>
    <n v="14"/>
    <n v="15"/>
    <n v="58"/>
    <n v="79"/>
    <x v="8"/>
    <x v="0"/>
    <x v="8"/>
    <n v="0.622"/>
  </r>
  <r>
    <s v="Mum-TCL055"/>
    <x v="54"/>
    <x v="6"/>
    <n v="15"/>
    <n v="67"/>
    <n v="48"/>
    <n v="95"/>
    <n v="35"/>
    <x v="47"/>
    <x v="0"/>
    <x v="47"/>
    <n v="0.48"/>
  </r>
  <r>
    <s v="Mum-TCL056"/>
    <x v="55"/>
    <x v="7"/>
    <n v="18"/>
    <n v="35"/>
    <n v="82"/>
    <n v="31"/>
    <n v="26"/>
    <x v="40"/>
    <x v="0"/>
    <x v="40"/>
    <n v="0.61599999999999999"/>
  </r>
  <r>
    <s v="Mum-TCL057"/>
    <x v="56"/>
    <x v="0"/>
    <n v="57"/>
    <n v="60"/>
    <n v="42"/>
    <n v="81"/>
    <n v="44"/>
    <x v="48"/>
    <x v="0"/>
    <x v="48"/>
    <n v="0.43200000000000005"/>
  </r>
  <r>
    <s v="Mum-TCL058"/>
    <x v="57"/>
    <x v="1"/>
    <n v="34"/>
    <n v="97"/>
    <n v="66"/>
    <n v="45"/>
    <n v="50"/>
    <x v="42"/>
    <x v="0"/>
    <x v="42"/>
    <n v="0.41600000000000004"/>
  </r>
  <r>
    <s v="Mum-TCL059"/>
    <x v="58"/>
    <x v="2"/>
    <n v="83"/>
    <n v="12"/>
    <n v="70"/>
    <n v="83"/>
    <n v="52"/>
    <x v="49"/>
    <x v="0"/>
    <x v="49"/>
    <n v="0.4"/>
  </r>
  <r>
    <s v="Mum-TCL060"/>
    <x v="59"/>
    <x v="3"/>
    <n v="76"/>
    <n v="55"/>
    <n v="56"/>
    <n v="16"/>
    <n v="61"/>
    <x v="33"/>
    <x v="0"/>
    <x v="33"/>
    <n v="0.47199999999999998"/>
  </r>
  <r>
    <s v="Mum-TCL061"/>
    <x v="60"/>
    <x v="4"/>
    <n v="40"/>
    <n v="70"/>
    <n v="19"/>
    <n v="36"/>
    <n v="52"/>
    <x v="50"/>
    <x v="0"/>
    <x v="50"/>
    <n v="0.56600000000000006"/>
  </r>
  <r>
    <s v="Mum-TCL062"/>
    <x v="61"/>
    <x v="5"/>
    <n v="44"/>
    <n v="60"/>
    <n v="71"/>
    <n v="34"/>
    <n v="37"/>
    <x v="51"/>
    <x v="0"/>
    <x v="51"/>
    <n v="0.50800000000000001"/>
  </r>
  <r>
    <s v="Mum-TCL063"/>
    <x v="62"/>
    <x v="6"/>
    <n v="43"/>
    <n v="78"/>
    <n v="15"/>
    <n v="98"/>
    <n v="33"/>
    <x v="52"/>
    <x v="0"/>
    <x v="52"/>
    <n v="0.46599999999999997"/>
  </r>
  <r>
    <s v="Mum-TCL064"/>
    <x v="63"/>
    <x v="7"/>
    <n v="75"/>
    <n v="75"/>
    <n v="89"/>
    <n v="97"/>
    <n v="49"/>
    <x v="53"/>
    <x v="0"/>
    <x v="53"/>
    <n v="0.22999999999999998"/>
  </r>
  <r>
    <s v="Mum-TCL065"/>
    <x v="64"/>
    <x v="0"/>
    <n v="74"/>
    <n v="51"/>
    <n v="97"/>
    <n v="73"/>
    <n v="33"/>
    <x v="54"/>
    <x v="0"/>
    <x v="54"/>
    <n v="0.34399999999999997"/>
  </r>
  <r>
    <s v="Mum-TCL066"/>
    <x v="65"/>
    <x v="1"/>
    <n v="44"/>
    <n v="36"/>
    <n v="11"/>
    <n v="45"/>
    <n v="30"/>
    <x v="55"/>
    <x v="0"/>
    <x v="55"/>
    <n v="0.66799999999999993"/>
  </r>
  <r>
    <s v="Mum-TCL067"/>
    <x v="66"/>
    <x v="2"/>
    <n v="87"/>
    <n v="79"/>
    <n v="46"/>
    <n v="65"/>
    <n v="65"/>
    <x v="56"/>
    <x v="0"/>
    <x v="56"/>
    <n v="0.31599999999999995"/>
  </r>
  <r>
    <s v="Mum-TCL068"/>
    <x v="67"/>
    <x v="3"/>
    <n v="70"/>
    <n v="52"/>
    <n v="80"/>
    <n v="43"/>
    <n v="48"/>
    <x v="57"/>
    <x v="0"/>
    <x v="57"/>
    <n v="0.41400000000000003"/>
  </r>
  <r>
    <s v="Mum-TCL069"/>
    <x v="68"/>
    <x v="4"/>
    <n v="45"/>
    <n v="26"/>
    <n v="27"/>
    <n v="14"/>
    <n v="59"/>
    <x v="58"/>
    <x v="0"/>
    <x v="58"/>
    <n v="0.65799999999999992"/>
  </r>
  <r>
    <s v="Mum-TCL070"/>
    <x v="69"/>
    <x v="5"/>
    <n v="51"/>
    <n v="26"/>
    <n v="58"/>
    <n v="83"/>
    <n v="11"/>
    <x v="59"/>
    <x v="0"/>
    <x v="59"/>
    <n v="0.54200000000000004"/>
  </r>
  <r>
    <s v="Mum-TCL071"/>
    <x v="70"/>
    <x v="6"/>
    <n v="68"/>
    <n v="36"/>
    <n v="15"/>
    <n v="20"/>
    <n v="17"/>
    <x v="60"/>
    <x v="0"/>
    <x v="60"/>
    <n v="0.68799999999999994"/>
  </r>
  <r>
    <s v="Mum-TCL072"/>
    <x v="71"/>
    <x v="7"/>
    <n v="32"/>
    <n v="74"/>
    <n v="18"/>
    <n v="33"/>
    <n v="51"/>
    <x v="61"/>
    <x v="0"/>
    <x v="61"/>
    <n v="0.58400000000000007"/>
  </r>
  <r>
    <s v="Mum-TCL073"/>
    <x v="72"/>
    <x v="0"/>
    <n v="41"/>
    <n v="11"/>
    <n v="46"/>
    <n v="35"/>
    <n v="10"/>
    <x v="62"/>
    <x v="0"/>
    <x v="62"/>
    <n v="0.71399999999999997"/>
  </r>
  <r>
    <s v="Mum-TCL074"/>
    <x v="73"/>
    <x v="1"/>
    <n v="41"/>
    <n v="17"/>
    <n v="82"/>
    <n v="75"/>
    <n v="39"/>
    <x v="63"/>
    <x v="0"/>
    <x v="63"/>
    <n v="0.49199999999999999"/>
  </r>
  <r>
    <s v="Mum-TCL075"/>
    <x v="74"/>
    <x v="2"/>
    <n v="12"/>
    <n v="97"/>
    <n v="45"/>
    <n v="29"/>
    <n v="41"/>
    <x v="64"/>
    <x v="0"/>
    <x v="64"/>
    <n v="0.55200000000000005"/>
  </r>
  <r>
    <s v="Mum-TCL076"/>
    <x v="75"/>
    <x v="3"/>
    <n v="19"/>
    <n v="72"/>
    <n v="87"/>
    <n v="82"/>
    <n v="27"/>
    <x v="65"/>
    <x v="0"/>
    <x v="65"/>
    <n v="0.42600000000000005"/>
  </r>
  <r>
    <s v="Mum-TCL077"/>
    <x v="76"/>
    <x v="4"/>
    <n v="98"/>
    <n v="15"/>
    <n v="72"/>
    <n v="67"/>
    <n v="34"/>
    <x v="66"/>
    <x v="0"/>
    <x v="66"/>
    <n v="0.42800000000000005"/>
  </r>
  <r>
    <s v="Mum-TCL078"/>
    <x v="77"/>
    <x v="5"/>
    <n v="50"/>
    <n v="44"/>
    <n v="46"/>
    <n v="13"/>
    <n v="92"/>
    <x v="67"/>
    <x v="0"/>
    <x v="67"/>
    <n v="0.51"/>
  </r>
  <r>
    <s v="Mum-TCL079"/>
    <x v="78"/>
    <x v="6"/>
    <n v="40"/>
    <n v="82"/>
    <n v="72"/>
    <n v="42"/>
    <n v="45"/>
    <x v="68"/>
    <x v="0"/>
    <x v="68"/>
    <n v="0.43799999999999994"/>
  </r>
  <r>
    <s v="Mum-TCL080"/>
    <x v="79"/>
    <x v="7"/>
    <n v="23"/>
    <n v="83"/>
    <n v="63"/>
    <n v="65"/>
    <n v="83"/>
    <x v="69"/>
    <x v="0"/>
    <x v="69"/>
    <n v="0.36599999999999999"/>
  </r>
  <r>
    <s v="Mum-TCL081"/>
    <x v="80"/>
    <x v="0"/>
    <n v="71"/>
    <n v="94"/>
    <n v="45"/>
    <n v="95"/>
    <n v="46"/>
    <x v="70"/>
    <x v="0"/>
    <x v="70"/>
    <n v="0.29800000000000004"/>
  </r>
  <r>
    <s v="Mum-TCL082"/>
    <x v="81"/>
    <x v="1"/>
    <n v="48"/>
    <n v="49"/>
    <n v="68"/>
    <n v="23"/>
    <n v="21"/>
    <x v="71"/>
    <x v="0"/>
    <x v="71"/>
    <n v="0.58200000000000007"/>
  </r>
  <r>
    <s v="Mum-TCL083"/>
    <x v="82"/>
    <x v="2"/>
    <n v="77"/>
    <n v="83"/>
    <n v="64"/>
    <n v="53"/>
    <n v="13"/>
    <x v="72"/>
    <x v="0"/>
    <x v="72"/>
    <n v="0.42000000000000004"/>
  </r>
  <r>
    <s v="Mum-TCL084"/>
    <x v="83"/>
    <x v="3"/>
    <n v="81"/>
    <n v="63"/>
    <n v="88"/>
    <n v="89"/>
    <n v="63"/>
    <x v="73"/>
    <x v="0"/>
    <x v="73"/>
    <n v="0.23199999999999998"/>
  </r>
  <r>
    <s v="Mum-TCL085"/>
    <x v="84"/>
    <x v="4"/>
    <n v="39"/>
    <n v="87"/>
    <n v="62"/>
    <n v="80"/>
    <n v="81"/>
    <x v="74"/>
    <x v="0"/>
    <x v="74"/>
    <n v="0.30200000000000005"/>
  </r>
  <r>
    <s v="Mum-TCL086"/>
    <x v="85"/>
    <x v="5"/>
    <n v="46"/>
    <n v="19"/>
    <n v="59"/>
    <n v="58"/>
    <n v="33"/>
    <x v="75"/>
    <x v="0"/>
    <x v="75"/>
    <n v="0.57000000000000006"/>
  </r>
  <r>
    <s v="Mum-TCL087"/>
    <x v="86"/>
    <x v="6"/>
    <n v="34"/>
    <n v="15"/>
    <n v="43"/>
    <n v="63"/>
    <n v="54"/>
    <x v="71"/>
    <x v="0"/>
    <x v="71"/>
    <n v="0.58200000000000007"/>
  </r>
  <r>
    <s v="Mum-TCL088"/>
    <x v="87"/>
    <x v="7"/>
    <n v="32"/>
    <n v="79"/>
    <n v="65"/>
    <n v="57"/>
    <n v="73"/>
    <x v="13"/>
    <x v="0"/>
    <x v="13"/>
    <n v="0.38800000000000001"/>
  </r>
  <r>
    <s v="Mum-TCL089"/>
    <x v="88"/>
    <x v="0"/>
    <n v="72"/>
    <n v="82"/>
    <n v="58"/>
    <n v="36"/>
    <n v="33"/>
    <x v="68"/>
    <x v="0"/>
    <x v="68"/>
    <n v="0.43799999999999994"/>
  </r>
  <r>
    <s v="Mum-TCL090"/>
    <x v="89"/>
    <x v="1"/>
    <n v="11"/>
    <n v="69"/>
    <n v="49"/>
    <n v="90"/>
    <n v="99"/>
    <x v="76"/>
    <x v="0"/>
    <x v="76"/>
    <n v="0.36399999999999999"/>
  </r>
  <r>
    <s v="Mum-TCL091"/>
    <x v="90"/>
    <x v="2"/>
    <n v="80"/>
    <n v="73"/>
    <n v="21"/>
    <n v="72"/>
    <n v="54"/>
    <x v="49"/>
    <x v="0"/>
    <x v="49"/>
    <n v="0.4"/>
  </r>
  <r>
    <s v="Mum-TCL092"/>
    <x v="91"/>
    <x v="3"/>
    <n v="93"/>
    <n v="42"/>
    <n v="38"/>
    <n v="98"/>
    <n v="10"/>
    <x v="68"/>
    <x v="0"/>
    <x v="68"/>
    <n v="0.43799999999999994"/>
  </r>
  <r>
    <s v="Mum-TCL093"/>
    <x v="92"/>
    <x v="4"/>
    <n v="18"/>
    <n v="80"/>
    <n v="20"/>
    <n v="32"/>
    <n v="95"/>
    <x v="67"/>
    <x v="0"/>
    <x v="67"/>
    <n v="0.51"/>
  </r>
  <r>
    <s v="Mum-TCL094"/>
    <x v="93"/>
    <x v="5"/>
    <n v="96"/>
    <n v="14"/>
    <n v="20"/>
    <n v="31"/>
    <n v="44"/>
    <x v="77"/>
    <x v="0"/>
    <x v="77"/>
    <n v="0.59000000000000008"/>
  </r>
  <r>
    <s v="Mum-TCL095"/>
    <x v="94"/>
    <x v="6"/>
    <n v="37"/>
    <n v="60"/>
    <n v="50"/>
    <n v="68"/>
    <n v="19"/>
    <x v="78"/>
    <x v="0"/>
    <x v="78"/>
    <n v="0.53200000000000003"/>
  </r>
  <r>
    <s v="Mum-TCL096"/>
    <x v="95"/>
    <x v="7"/>
    <n v="35"/>
    <n v="79"/>
    <n v="17"/>
    <n v="85"/>
    <n v="16"/>
    <x v="35"/>
    <x v="0"/>
    <x v="35"/>
    <n v="0.53600000000000003"/>
  </r>
  <r>
    <s v="Mum-TCL097"/>
    <x v="96"/>
    <x v="0"/>
    <n v="31"/>
    <n v="48"/>
    <n v="56"/>
    <n v="85"/>
    <n v="25"/>
    <x v="67"/>
    <x v="0"/>
    <x v="67"/>
    <n v="0.51"/>
  </r>
  <r>
    <s v="Mum-TCL098"/>
    <x v="97"/>
    <x v="1"/>
    <n v="23"/>
    <n v="83"/>
    <n v="86"/>
    <n v="69"/>
    <n v="25"/>
    <x v="66"/>
    <x v="0"/>
    <x v="66"/>
    <n v="0.42800000000000005"/>
  </r>
  <r>
    <s v="Mum-TCL099"/>
    <x v="98"/>
    <x v="2"/>
    <n v="17"/>
    <n v="97"/>
    <n v="81"/>
    <n v="32"/>
    <n v="76"/>
    <x v="79"/>
    <x v="0"/>
    <x v="79"/>
    <n v="0.39400000000000002"/>
  </r>
  <r>
    <s v="Mum-TCL100"/>
    <x v="99"/>
    <x v="3"/>
    <n v="92"/>
    <n v="45"/>
    <n v="43"/>
    <n v="91"/>
    <n v="47"/>
    <x v="76"/>
    <x v="0"/>
    <x v="76"/>
    <n v="0.36399999999999999"/>
  </r>
  <r>
    <s v="Mum-TCL101"/>
    <x v="100"/>
    <x v="4"/>
    <n v="49"/>
    <n v="77"/>
    <n v="18"/>
    <n v="69"/>
    <n v="55"/>
    <x v="80"/>
    <x v="0"/>
    <x v="80"/>
    <n v="0.46399999999999997"/>
  </r>
  <r>
    <s v="Mum-TCL102"/>
    <x v="101"/>
    <x v="5"/>
    <n v="81"/>
    <n v="88"/>
    <n v="19"/>
    <n v="95"/>
    <n v="39"/>
    <x v="46"/>
    <x v="0"/>
    <x v="46"/>
    <n v="0.35599999999999998"/>
  </r>
  <r>
    <s v="Mum-TCL103"/>
    <x v="102"/>
    <x v="6"/>
    <n v="55"/>
    <n v="14"/>
    <n v="41"/>
    <n v="40"/>
    <n v="70"/>
    <x v="81"/>
    <x v="0"/>
    <x v="81"/>
    <n v="0.56000000000000005"/>
  </r>
  <r>
    <s v="Mum-TCL104"/>
    <x v="103"/>
    <x v="7"/>
    <n v="86"/>
    <n v="13"/>
    <n v="99"/>
    <n v="25"/>
    <n v="83"/>
    <x v="13"/>
    <x v="0"/>
    <x v="13"/>
    <n v="0.38800000000000001"/>
  </r>
  <r>
    <s v="Mum-TCL105"/>
    <x v="104"/>
    <x v="0"/>
    <n v="88"/>
    <n v="96"/>
    <n v="16"/>
    <n v="65"/>
    <n v="86"/>
    <x v="70"/>
    <x v="0"/>
    <x v="70"/>
    <n v="0.29800000000000004"/>
  </r>
  <r>
    <s v="Mum-TCL106"/>
    <x v="105"/>
    <x v="1"/>
    <n v="61"/>
    <n v="73"/>
    <n v="34"/>
    <n v="30"/>
    <n v="30"/>
    <x v="82"/>
    <x v="0"/>
    <x v="82"/>
    <n v="0.54400000000000004"/>
  </r>
  <r>
    <s v="Mum-TCL107"/>
    <x v="106"/>
    <x v="2"/>
    <n v="61"/>
    <n v="91"/>
    <n v="53"/>
    <n v="78"/>
    <n v="91"/>
    <x v="83"/>
    <x v="0"/>
    <x v="83"/>
    <n v="0.252"/>
  </r>
  <r>
    <s v="Mum-TCL108"/>
    <x v="107"/>
    <x v="3"/>
    <n v="75"/>
    <n v="53"/>
    <n v="27"/>
    <n v="26"/>
    <n v="30"/>
    <x v="84"/>
    <x v="0"/>
    <x v="84"/>
    <n v="0.57800000000000007"/>
  </r>
  <r>
    <s v="Mum-TCL109"/>
    <x v="108"/>
    <x v="4"/>
    <n v="24"/>
    <n v="31"/>
    <n v="41"/>
    <n v="57"/>
    <n v="83"/>
    <x v="85"/>
    <x v="0"/>
    <x v="85"/>
    <n v="0.52800000000000002"/>
  </r>
  <r>
    <s v="Mum-TCL110"/>
    <x v="109"/>
    <x v="5"/>
    <n v="83"/>
    <n v="62"/>
    <n v="32"/>
    <n v="83"/>
    <n v="95"/>
    <x v="86"/>
    <x v="0"/>
    <x v="86"/>
    <n v="0.29000000000000004"/>
  </r>
  <r>
    <s v="Mum-TCL111"/>
    <x v="110"/>
    <x v="6"/>
    <n v="39"/>
    <n v="52"/>
    <n v="72"/>
    <n v="99"/>
    <n v="58"/>
    <x v="87"/>
    <x v="0"/>
    <x v="87"/>
    <n v="0.36"/>
  </r>
  <r>
    <s v="Mum-TCL112"/>
    <x v="111"/>
    <x v="7"/>
    <n v="93"/>
    <n v="74"/>
    <n v="85"/>
    <n v="47"/>
    <n v="90"/>
    <x v="88"/>
    <x v="0"/>
    <x v="88"/>
    <n v="0.22199999999999998"/>
  </r>
  <r>
    <s v="Mum-TCL113"/>
    <x v="112"/>
    <x v="0"/>
    <n v="43"/>
    <n v="88"/>
    <n v="35"/>
    <n v="54"/>
    <n v="91"/>
    <x v="89"/>
    <x v="0"/>
    <x v="89"/>
    <n v="0.378"/>
  </r>
  <r>
    <s v="Mum-TCL114"/>
    <x v="113"/>
    <x v="1"/>
    <n v="87"/>
    <n v="15"/>
    <n v="11"/>
    <n v="42"/>
    <n v="88"/>
    <x v="90"/>
    <x v="0"/>
    <x v="90"/>
    <n v="0.51400000000000001"/>
  </r>
  <r>
    <s v="Mum-TCL115"/>
    <x v="114"/>
    <x v="2"/>
    <n v="45"/>
    <n v="45"/>
    <n v="61"/>
    <n v="11"/>
    <n v="52"/>
    <x v="31"/>
    <x v="0"/>
    <x v="31"/>
    <n v="0.57200000000000006"/>
  </r>
  <r>
    <s v="Mum-TCL116"/>
    <x v="115"/>
    <x v="3"/>
    <n v="71"/>
    <n v="42"/>
    <n v="17"/>
    <n v="57"/>
    <n v="96"/>
    <x v="91"/>
    <x v="0"/>
    <x v="91"/>
    <n v="0.43400000000000005"/>
  </r>
  <r>
    <s v="Mum-TCL117"/>
    <x v="116"/>
    <x v="4"/>
    <n v="26"/>
    <n v="65"/>
    <n v="17"/>
    <n v="28"/>
    <n v="30"/>
    <x v="55"/>
    <x v="0"/>
    <x v="55"/>
    <n v="0.66799999999999993"/>
  </r>
  <r>
    <s v="Mum-TCL118"/>
    <x v="117"/>
    <x v="5"/>
    <n v="26"/>
    <n v="61"/>
    <n v="89"/>
    <n v="71"/>
    <n v="33"/>
    <x v="92"/>
    <x v="0"/>
    <x v="92"/>
    <n v="0.43999999999999995"/>
  </r>
  <r>
    <s v="Mum-TCL119"/>
    <x v="118"/>
    <x v="6"/>
    <n v="93"/>
    <n v="11"/>
    <n v="93"/>
    <n v="31"/>
    <n v="30"/>
    <x v="93"/>
    <x v="0"/>
    <x v="93"/>
    <n v="0.48399999999999999"/>
  </r>
  <r>
    <s v="Mum-TCL120"/>
    <x v="119"/>
    <x v="7"/>
    <n v="65"/>
    <n v="92"/>
    <n v="48"/>
    <n v="96"/>
    <n v="15"/>
    <x v="94"/>
    <x v="0"/>
    <x v="94"/>
    <n v="0.36799999999999999"/>
  </r>
  <r>
    <s v="Mum-TCL121"/>
    <x v="120"/>
    <x v="0"/>
    <n v="91"/>
    <n v="38"/>
    <n v="33"/>
    <n v="55"/>
    <n v="83"/>
    <x v="49"/>
    <x v="0"/>
    <x v="49"/>
    <n v="0.4"/>
  </r>
  <r>
    <s v="Mum-TCL122"/>
    <x v="121"/>
    <x v="1"/>
    <n v="20"/>
    <n v="94"/>
    <n v="45"/>
    <n v="70"/>
    <n v="98"/>
    <x v="95"/>
    <x v="0"/>
    <x v="95"/>
    <n v="0.34599999999999997"/>
  </r>
  <r>
    <s v="Mum-TCL123"/>
    <x v="122"/>
    <x v="2"/>
    <n v="25"/>
    <n v="83"/>
    <n v="26"/>
    <n v="68"/>
    <n v="22"/>
    <x v="64"/>
    <x v="0"/>
    <x v="64"/>
    <n v="0.55200000000000005"/>
  </r>
  <r>
    <s v="Mum-TCL124"/>
    <x v="123"/>
    <x v="3"/>
    <n v="26"/>
    <n v="16"/>
    <n v="61"/>
    <n v="92"/>
    <n v="50"/>
    <x v="67"/>
    <x v="0"/>
    <x v="67"/>
    <n v="0.51"/>
  </r>
  <r>
    <s v="Mum-TCL125"/>
    <x v="124"/>
    <x v="4"/>
    <n v="31"/>
    <n v="55"/>
    <n v="75"/>
    <n v="66"/>
    <n v="75"/>
    <x v="96"/>
    <x v="0"/>
    <x v="96"/>
    <n v="0.39600000000000002"/>
  </r>
  <r>
    <s v="Mum-TCL126"/>
    <x v="125"/>
    <x v="5"/>
    <n v="41"/>
    <n v="66"/>
    <n v="48"/>
    <n v="70"/>
    <n v="48"/>
    <x v="97"/>
    <x v="0"/>
    <x v="97"/>
    <n v="0.45399999999999996"/>
  </r>
  <r>
    <s v="Mum-TCL127"/>
    <x v="126"/>
    <x v="6"/>
    <n v="60"/>
    <n v="92"/>
    <n v="32"/>
    <n v="60"/>
    <n v="78"/>
    <x v="46"/>
    <x v="0"/>
    <x v="46"/>
    <n v="0.35599999999999998"/>
  </r>
  <r>
    <s v="Mum-TCL128"/>
    <x v="127"/>
    <x v="7"/>
    <n v="42"/>
    <n v="24"/>
    <n v="19"/>
    <n v="82"/>
    <n v="16"/>
    <x v="20"/>
    <x v="0"/>
    <x v="20"/>
    <n v="0.63400000000000001"/>
  </r>
  <r>
    <s v="Mum-TCL129"/>
    <x v="128"/>
    <x v="0"/>
    <n v="26"/>
    <n v="85"/>
    <n v="75"/>
    <n v="83"/>
    <n v="37"/>
    <x v="13"/>
    <x v="0"/>
    <x v="13"/>
    <n v="0.38800000000000001"/>
  </r>
  <r>
    <s v="Mum-TCL130"/>
    <x v="129"/>
    <x v="1"/>
    <n v="81"/>
    <n v="68"/>
    <n v="74"/>
    <n v="72"/>
    <n v="12"/>
    <x v="98"/>
    <x v="0"/>
    <x v="98"/>
    <n v="0.38600000000000001"/>
  </r>
  <r>
    <s v="Mum-TCL131"/>
    <x v="130"/>
    <x v="2"/>
    <n v="90"/>
    <n v="79"/>
    <n v="99"/>
    <n v="60"/>
    <n v="27"/>
    <x v="86"/>
    <x v="0"/>
    <x v="86"/>
    <n v="0.29000000000000004"/>
  </r>
  <r>
    <s v="Mum-TCL132"/>
    <x v="131"/>
    <x v="3"/>
    <n v="71"/>
    <n v="21"/>
    <n v="70"/>
    <n v="53"/>
    <n v="49"/>
    <x v="33"/>
    <x v="0"/>
    <x v="33"/>
    <n v="0.47199999999999998"/>
  </r>
  <r>
    <s v="Mum-TCL133"/>
    <x v="132"/>
    <x v="4"/>
    <n v="86"/>
    <n v="60"/>
    <n v="59"/>
    <n v="51"/>
    <n v="90"/>
    <x v="99"/>
    <x v="0"/>
    <x v="99"/>
    <n v="0.30800000000000005"/>
  </r>
  <r>
    <s v="Mum-TCL134"/>
    <x v="133"/>
    <x v="5"/>
    <n v="68"/>
    <n v="61"/>
    <n v="12"/>
    <n v="41"/>
    <n v="35"/>
    <x v="50"/>
    <x v="0"/>
    <x v="50"/>
    <n v="0.56600000000000006"/>
  </r>
  <r>
    <s v="Mum-TCL135"/>
    <x v="134"/>
    <x v="6"/>
    <n v="65"/>
    <n v="34"/>
    <n v="15"/>
    <n v="86"/>
    <n v="71"/>
    <x v="100"/>
    <x v="0"/>
    <x v="100"/>
    <n v="0.45799999999999996"/>
  </r>
  <r>
    <s v="Mum-TCL136"/>
    <x v="135"/>
    <x v="7"/>
    <n v="91"/>
    <n v="21"/>
    <n v="59"/>
    <n v="85"/>
    <n v="60"/>
    <x v="94"/>
    <x v="0"/>
    <x v="94"/>
    <n v="0.36799999999999999"/>
  </r>
  <r>
    <s v="Mum-TCL137"/>
    <x v="136"/>
    <x v="0"/>
    <n v="73"/>
    <n v="67"/>
    <n v="49"/>
    <n v="56"/>
    <n v="43"/>
    <x v="3"/>
    <x v="0"/>
    <x v="3"/>
    <n v="0.42400000000000004"/>
  </r>
  <r>
    <s v="Mum-TCL138"/>
    <x v="137"/>
    <x v="1"/>
    <n v="72"/>
    <n v="49"/>
    <n v="93"/>
    <n v="95"/>
    <n v="73"/>
    <x v="101"/>
    <x v="0"/>
    <x v="101"/>
    <n v="0.23599999999999999"/>
  </r>
  <r>
    <s v="Mum-TCL139"/>
    <x v="138"/>
    <x v="2"/>
    <n v="85"/>
    <n v="43"/>
    <n v="74"/>
    <n v="26"/>
    <n v="88"/>
    <x v="94"/>
    <x v="0"/>
    <x v="94"/>
    <n v="0.36799999999999999"/>
  </r>
  <r>
    <s v="Mum-TCL140"/>
    <x v="139"/>
    <x v="3"/>
    <n v="77"/>
    <n v="81"/>
    <n v="10"/>
    <n v="65"/>
    <n v="83"/>
    <x v="94"/>
    <x v="0"/>
    <x v="94"/>
    <n v="0.36799999999999999"/>
  </r>
  <r>
    <s v="Mum-TCL141"/>
    <x v="140"/>
    <x v="4"/>
    <n v="46"/>
    <n v="52"/>
    <n v="57"/>
    <n v="67"/>
    <n v="64"/>
    <x v="66"/>
    <x v="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261059-F121-43DF-AD38-957DCCED763D}" name="PivotTable6"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location ref="K18:N26" firstHeaderRow="0" firstDataRow="1" firstDataCol="1"/>
  <pivotFields count="13">
    <pivotField showAll="0"/>
    <pivotField axis="axisRow" showAll="0" measureFilter="1" includeNewItemsInFilter="1" maxSubtotal="1">
      <items count="142">
        <item x="19"/>
        <item x="18"/>
        <item x="17"/>
        <item x="16"/>
        <item x="15"/>
        <item x="14"/>
        <item x="1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2"/>
        <item x="11"/>
        <item x="10"/>
        <item x="9"/>
        <item x="8"/>
        <item x="7"/>
        <item x="6"/>
        <item x="5"/>
        <item x="3"/>
        <item x="1"/>
        <item t="max"/>
      </items>
    </pivotField>
    <pivotField showAll="0">
      <items count="9">
        <item h="1" x="3"/>
        <item h="1" x="1"/>
        <item h="1" x="0"/>
        <item h="1" x="2"/>
        <item x="5"/>
        <item h="1" x="4"/>
        <item h="1" x="6"/>
        <item h="1"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items count="71">
        <item x="46"/>
        <item x="40"/>
        <item x="28"/>
        <item x="38"/>
        <item x="47"/>
        <item x="33"/>
        <item x="10"/>
        <item x="29"/>
        <item x="53"/>
        <item x="67"/>
        <item x="19"/>
        <item x="27"/>
        <item x="65"/>
        <item x="14"/>
        <item x="8"/>
        <item x="6"/>
        <item x="25"/>
        <item x="5"/>
        <item x="17"/>
        <item x="39"/>
        <item x="35"/>
        <item x="22"/>
        <item x="37"/>
        <item x="54"/>
        <item x="68"/>
        <item x="48"/>
        <item x="57"/>
        <item x="16"/>
        <item x="56"/>
        <item x="51"/>
        <item x="31"/>
        <item x="9"/>
        <item x="60"/>
        <item x="4"/>
        <item x="41"/>
        <item x="13"/>
        <item x="26"/>
        <item x="30"/>
        <item x="63"/>
        <item x="61"/>
        <item x="52"/>
        <item x="62"/>
        <item x="24"/>
        <item x="36"/>
        <item x="66"/>
        <item x="15"/>
        <item x="42"/>
        <item x="20"/>
        <item x="34"/>
        <item x="18"/>
        <item x="45"/>
        <item x="44"/>
        <item x="12"/>
        <item x="43"/>
        <item x="2"/>
        <item x="55"/>
        <item x="69"/>
        <item x="32"/>
        <item x="49"/>
        <item x="0"/>
        <item x="1"/>
        <item x="21"/>
        <item x="11"/>
        <item x="23"/>
        <item x="59"/>
        <item x="64"/>
        <item x="50"/>
        <item x="58"/>
        <item x="7"/>
        <item x="3"/>
        <item t="default"/>
      </items>
    </pivotField>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dataField="1" numFmtId="10" showAll="0"/>
    <pivotField dataField="1" numFmtId="10" showAll="0"/>
    <pivotField showAll="0">
      <items count="2">
        <item x="0"/>
        <item t="default"/>
      </items>
    </pivotField>
  </pivotFields>
  <rowFields count="1">
    <field x="1"/>
  </rowFields>
  <rowItems count="8">
    <i>
      <x v="14"/>
    </i>
    <i>
      <x v="56"/>
    </i>
    <i>
      <x v="64"/>
    </i>
    <i>
      <x v="72"/>
    </i>
    <i>
      <x v="80"/>
    </i>
    <i>
      <x v="88"/>
    </i>
    <i>
      <x v="97"/>
    </i>
    <i>
      <x v="113"/>
    </i>
  </rowItems>
  <colFields count="1">
    <field x="-2"/>
  </colFields>
  <colItems count="3">
    <i>
      <x/>
    </i>
    <i i="1">
      <x v="1"/>
    </i>
    <i i="2">
      <x v="2"/>
    </i>
  </colItems>
  <dataFields count="3">
    <dataField name="Total_Sales" fld="8" baseField="1" baseItem="2" numFmtId="2"/>
    <dataField name=" Away From Target %" fld="11" baseField="0" baseItem="0" numFmtId="10"/>
    <dataField name="Rank" fld="10" baseField="1" baseItem="0">
      <extLst>
        <ext xmlns:x14="http://schemas.microsoft.com/office/spreadsheetml/2009/9/main" uri="{E15A36E0-9728-4e99-A89B-3F7291B0FE68}">
          <x14:dataField pivotShowAs="rankAscending"/>
        </ext>
      </extLst>
    </dataField>
  </dataFields>
  <formats count="4">
    <format dxfId="91">
      <pivotArea type="all" dataOnly="0" outline="0" fieldPosition="0"/>
    </format>
    <format dxfId="92">
      <pivotArea outline="0" collapsedLevelsAreSubtotals="1" fieldPosition="0"/>
    </format>
    <format dxfId="93">
      <pivotArea outline="0" fieldPosition="0">
        <references count="1">
          <reference field="4294967294" count="1">
            <x v="2"/>
          </reference>
        </references>
      </pivotArea>
    </format>
    <format dxfId="0">
      <pivotArea outline="0" collapsedLevelsAreSubtotals="1" fieldPosition="0">
        <references count="1">
          <reference field="4294967294" count="1" selected="0">
            <x v="0"/>
          </reference>
        </references>
      </pivotArea>
    </format>
  </formats>
  <pivotTableStyleInfo name="PivotStyleLight17" showRowHeaders="1" showColHeaders="1" showRowStripes="0" showColStripes="0" showLastColumn="1"/>
  <filters count="1">
    <filter fld="1" type="count" evalOrder="-1" id="5" iMeasureFld="1">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E94065-9B1C-4526-A2C6-3F432E6CB536}" name="PivotTable3" cacheId="6" applyNumberFormats="0" applyBorderFormats="0" applyFontFormats="0" applyPatternFormats="0" applyAlignmentFormats="0" applyWidthHeightFormats="1" dataCaption="Values" updatedVersion="8" minRefreshableVersion="3" preserveFormatting="0" rowGrandTotals="0" colGrandTotals="0" itemPrintTitles="1" createdVersion="6" indent="0" outline="1" outlineData="1" multipleFieldFilters="0" chartFormat="5">
  <location ref="K5:N13" firstHeaderRow="0" firstDataRow="1" firstDataCol="1"/>
  <pivotFields count="13">
    <pivotField showAll="0"/>
    <pivotField axis="axisRow" showAll="0" measureFilter="1" includeNewItemsInFilter="1" maxSubtotal="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max"/>
      </items>
    </pivotField>
    <pivotField showAll="0">
      <items count="9">
        <item h="1" x="3"/>
        <item h="1" x="1"/>
        <item h="1" x="0"/>
        <item h="1" x="2"/>
        <item x="5"/>
        <item h="1" x="4"/>
        <item h="1" x="6"/>
        <item h="1"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items count="71">
        <item x="46"/>
        <item x="40"/>
        <item x="28"/>
        <item x="38"/>
        <item x="47"/>
        <item x="33"/>
        <item x="10"/>
        <item x="29"/>
        <item x="53"/>
        <item x="67"/>
        <item x="19"/>
        <item x="27"/>
        <item x="65"/>
        <item x="14"/>
        <item x="8"/>
        <item x="6"/>
        <item x="25"/>
        <item x="5"/>
        <item x="17"/>
        <item x="39"/>
        <item x="35"/>
        <item x="22"/>
        <item x="37"/>
        <item x="54"/>
        <item x="68"/>
        <item x="48"/>
        <item x="57"/>
        <item x="16"/>
        <item x="56"/>
        <item x="51"/>
        <item x="31"/>
        <item x="9"/>
        <item x="60"/>
        <item x="4"/>
        <item x="41"/>
        <item x="13"/>
        <item x="26"/>
        <item x="30"/>
        <item x="63"/>
        <item x="61"/>
        <item x="52"/>
        <item x="62"/>
        <item x="24"/>
        <item x="36"/>
        <item x="66"/>
        <item x="15"/>
        <item x="42"/>
        <item x="20"/>
        <item x="34"/>
        <item x="18"/>
        <item x="45"/>
        <item x="44"/>
        <item x="12"/>
        <item x="43"/>
        <item x="2"/>
        <item x="55"/>
        <item x="69"/>
        <item x="32"/>
        <item x="49"/>
        <item x="0"/>
        <item x="1"/>
        <item x="21"/>
        <item x="11"/>
        <item x="23"/>
        <item x="59"/>
        <item x="64"/>
        <item x="50"/>
        <item x="58"/>
        <item x="7"/>
        <item x="3"/>
        <item t="default"/>
      </items>
    </pivotField>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dataField="1" numFmtId="10" showAll="0"/>
    <pivotField numFmtId="10" showAll="0"/>
    <pivotField showAll="0">
      <items count="2">
        <item x="0"/>
        <item t="default"/>
      </items>
    </pivotField>
  </pivotFields>
  <rowFields count="1">
    <field x="1"/>
  </rowFields>
  <rowItems count="8">
    <i>
      <x v="17"/>
    </i>
    <i>
      <x v="25"/>
    </i>
    <i>
      <x v="33"/>
    </i>
    <i>
      <x v="41"/>
    </i>
    <i>
      <x v="98"/>
    </i>
    <i>
      <x v="114"/>
    </i>
    <i>
      <x v="122"/>
    </i>
    <i>
      <x v="130"/>
    </i>
  </rowItems>
  <colFields count="1">
    <field x="-2"/>
  </colFields>
  <colItems count="3">
    <i>
      <x/>
    </i>
    <i i="1">
      <x v="1"/>
    </i>
    <i i="2">
      <x v="2"/>
    </i>
  </colItems>
  <dataFields count="3">
    <dataField name="Total_Sales" fld="8" baseField="1" baseItem="2"/>
    <dataField name="Achieve_target%" fld="10" baseField="1" baseItem="17" numFmtId="10"/>
    <dataField name="Rank" fld="10" baseField="1" baseItem="0">
      <extLst>
        <ext xmlns:x14="http://schemas.microsoft.com/office/spreadsheetml/2009/9/main" uri="{E15A36E0-9728-4e99-A89B-3F7291B0FE68}">
          <x14:dataField pivotShowAs="rankDescending"/>
        </ext>
      </extLst>
    </dataField>
  </dataFields>
  <pivotTableStyleInfo name="PivotStyleLight17" showRowHeaders="1" showColHeaders="1" showRowStripes="0" showColStripes="0" showLastColumn="1"/>
  <filters count="1">
    <filter fld="1" type="count" evalOrder="-1" id="6" iMeasureFld="1">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266289-B757-46A9-80CD-B8C6FCE06B8D}" name="PivotTable5" cacheId="5" applyNumberFormats="0" applyBorderFormats="0" applyFontFormats="0" applyPatternFormats="0" applyAlignmentFormats="0" applyWidthHeightFormats="1" dataCaption="Values" updatedVersion="8" minRefreshableVersion="3" preserveFormatting="0" pageOverThenDown="1" rowGrandTotals="0" colGrandTotals="0" itemPrintTitles="1" createdVersion="8" indent="0" outline="1" outlineData="1" multipleFieldFilters="0" chartFormat="6">
  <location ref="B19:C27" firstHeaderRow="1" firstDataRow="1" firstDataCol="1"/>
  <pivotFields count="12">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axis="axisRow" multipleItemSelectionAllowed="1" showAll="0">
      <items count="9">
        <item x="3"/>
        <item x="1"/>
        <item x="0"/>
        <item x="2"/>
        <item x="5"/>
        <item x="4"/>
        <item x="6"/>
        <item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items count="2">
        <item x="0"/>
        <item t="default"/>
      </items>
    </pivotField>
    <pivotField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s>
  <rowFields count="1">
    <field x="2"/>
  </rowFields>
  <rowItems count="8">
    <i>
      <x/>
    </i>
    <i>
      <x v="1"/>
    </i>
    <i>
      <x v="2"/>
    </i>
    <i>
      <x v="3"/>
    </i>
    <i>
      <x v="4"/>
    </i>
    <i>
      <x v="5"/>
    </i>
    <i>
      <x v="6"/>
    </i>
    <i>
      <x v="7"/>
    </i>
  </rowItems>
  <colItems count="1">
    <i/>
  </colItems>
  <dataFields count="1">
    <dataField name="Sum of Total Sales" fld="8"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316148-FDBC-4270-9FFA-F47EA26EF9A6}" name="PivotTable2" cacheId="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A3:E4" firstHeaderRow="0" firstDataRow="1" firstDataCol="0"/>
  <pivotFields count="13">
    <pivotField showAll="0"/>
    <pivotField showAll="0" includeNewItemsIn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dataField="1"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dataField="1" showAll="0">
      <items count="71">
        <item x="46"/>
        <item x="40"/>
        <item x="28"/>
        <item x="38"/>
        <item x="47"/>
        <item x="33"/>
        <item x="10"/>
        <item x="29"/>
        <item x="53"/>
        <item x="67"/>
        <item x="19"/>
        <item x="27"/>
        <item x="65"/>
        <item x="14"/>
        <item x="8"/>
        <item x="6"/>
        <item x="25"/>
        <item x="5"/>
        <item x="17"/>
        <item x="39"/>
        <item x="35"/>
        <item x="22"/>
        <item x="37"/>
        <item x="54"/>
        <item x="68"/>
        <item x="48"/>
        <item x="57"/>
        <item x="16"/>
        <item x="56"/>
        <item x="51"/>
        <item x="31"/>
        <item x="9"/>
        <item x="60"/>
        <item x="4"/>
        <item x="41"/>
        <item x="13"/>
        <item x="26"/>
        <item x="30"/>
        <item x="63"/>
        <item x="61"/>
        <item x="52"/>
        <item x="62"/>
        <item x="24"/>
        <item x="36"/>
        <item x="66"/>
        <item x="15"/>
        <item x="42"/>
        <item x="20"/>
        <item x="34"/>
        <item x="18"/>
        <item x="45"/>
        <item x="44"/>
        <item x="12"/>
        <item x="43"/>
        <item x="2"/>
        <item x="55"/>
        <item x="69"/>
        <item x="32"/>
        <item x="49"/>
        <item x="0"/>
        <item x="1"/>
        <item x="21"/>
        <item x="11"/>
        <item x="23"/>
        <item x="59"/>
        <item x="64"/>
        <item x="50"/>
        <item x="58"/>
        <item x="7"/>
        <item x="3"/>
        <item t="default"/>
      </items>
    </pivotField>
    <pivotField dataField="1" showAll="0"/>
    <pivotField dataField="1" showAll="0"/>
    <pivotField dataField="1" showAll="0"/>
    <pivotField showAll="0"/>
    <pivotField showAll="0"/>
    <pivotField numFmtId="10" showAll="0"/>
    <pivotField numFmtId="10" showAll="0"/>
    <pivotField showAll="0">
      <items count="2">
        <item x="0"/>
        <item t="default"/>
      </items>
    </pivotField>
  </pivotFields>
  <rowItems count="1">
    <i/>
  </rowItems>
  <colFields count="1">
    <field x="-2"/>
  </colFields>
  <colItems count="5">
    <i>
      <x/>
    </i>
    <i i="1">
      <x v="1"/>
    </i>
    <i i="2">
      <x v="2"/>
    </i>
    <i i="3">
      <x v="3"/>
    </i>
    <i i="4">
      <x v="4"/>
    </i>
  </colItems>
  <dataFields count="5">
    <dataField name="Sum of Day1" fld="3" baseField="0" baseItem="0"/>
    <dataField name="Sum of Day2" fld="4" baseField="0" baseItem="0"/>
    <dataField name="Sum of Day3" fld="5" baseField="0" baseItem="0"/>
    <dataField name="Sum of Day4" fld="6" baseField="0" baseItem="0"/>
    <dataField name="Sum of Day5" fld="7" baseField="0" baseItem="0"/>
  </dataFields>
  <formats count="3">
    <format dxfId="94">
      <pivotArea type="all" dataOnly="0" outline="0" fieldPosition="0"/>
    </format>
    <format dxfId="95">
      <pivotArea outline="0" collapsedLevelsAreSubtotals="1" fieldPosition="0"/>
    </format>
    <format dxfId="96">
      <pivotArea dataOnly="0" labelOnly="1" outline="0" fieldPosition="0">
        <references count="1">
          <reference field="4294967294" count="5">
            <x v="0"/>
            <x v="1"/>
            <x v="2"/>
            <x v="3"/>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542A619-1A76-4D64-AFBC-D8E38D3F9D5E}" autoFormatId="16" applyNumberFormats="0" applyBorderFormats="0" applyFontFormats="0" applyPatternFormats="0" applyAlignmentFormats="0" applyWidthHeightFormats="0">
  <queryTableRefresh nextId="13">
    <queryTableFields count="12">
      <queryTableField id="1" name="Emp Code" tableColumnId="1"/>
      <queryTableField id="2" name="Sales Executive" tableColumnId="2"/>
      <queryTableField id="3" name="Region" tableColumnId="3"/>
      <queryTableField id="4" name="Day1" tableColumnId="4"/>
      <queryTableField id="5" name="Day2" tableColumnId="5"/>
      <queryTableField id="6" name="Day3" tableColumnId="6"/>
      <queryTableField id="7" name="Day4" tableColumnId="7"/>
      <queryTableField id="8" name="Day5" tableColumnId="8"/>
      <queryTableField id="9" name="Total Sales" tableColumnId="9"/>
      <queryTableField id="10" name="Target" tableColumnId="10"/>
      <queryTableField id="11" name="Target Hit %" tableColumnId="11"/>
      <queryTableField id="12" name="Away From Target %"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42256651-3A5B-4E0C-AF3B-FE7B1A6378EE}" sourceName="Region">
  <pivotTables>
    <pivotTable tabId="4" name="PivotTable2"/>
    <pivotTable tabId="4" name="PivotTable3"/>
    <pivotTable tabId="4" name="PivotTable6"/>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9C33C543-E4C9-4B07-AB54-3B72CABF2BA5}" cache="Slicer_Region1" caption="Region" style="Slicer Style 1" rowHeight="180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5CF224-ACA4-4EFF-8DF1-B6C24B6AD9E4}" name="Table1_1" displayName="Table1_1" ref="A1:L142" tableType="queryTable" totalsRowShown="0">
  <autoFilter ref="A1:L142" xr:uid="{E85CF224-ACA4-4EFF-8DF1-B6C24B6AD9E4}"/>
  <tableColumns count="12">
    <tableColumn id="1" xr3:uid="{6A196F07-9C47-448E-BC62-48B00A7F5286}" uniqueName="1" name="Emp Code" queryTableFieldId="1" dataDxfId="115"/>
    <tableColumn id="2" xr3:uid="{BCCFFEF7-9CC5-4E45-925E-2750222D7881}" uniqueName="2" name="Sales Executive" queryTableFieldId="2" dataDxfId="114"/>
    <tableColumn id="3" xr3:uid="{0DB542C9-751E-4F0F-8A97-9855F6BE515F}" uniqueName="3" name="Region" queryTableFieldId="3" dataDxfId="113"/>
    <tableColumn id="4" xr3:uid="{CC96A48F-20F5-427F-B2A0-2BE33DA8A796}" uniqueName="4" name="Day1" queryTableFieldId="4"/>
    <tableColumn id="5" xr3:uid="{C39486D9-439D-4C81-9198-7012CED8DA05}" uniqueName="5" name="Day2" queryTableFieldId="5"/>
    <tableColumn id="6" xr3:uid="{601F4F97-28FF-4CC2-9C6E-93EF459CD397}" uniqueName="6" name="Day3" queryTableFieldId="6"/>
    <tableColumn id="7" xr3:uid="{517C9232-EBA5-49C6-83FD-30F248D46916}" uniqueName="7" name="Day4" queryTableFieldId="7"/>
    <tableColumn id="8" xr3:uid="{9CE439A7-C026-47AC-A628-CC48B2586FD7}" uniqueName="8" name="Day5" queryTableFieldId="8"/>
    <tableColumn id="9" xr3:uid="{5ECC3C20-99D1-43E6-8F79-7DE172038461}" uniqueName="9" name="Total Sales" queryTableFieldId="9"/>
    <tableColumn id="10" xr3:uid="{8E2E594A-9B92-4885-91E0-412E25A87829}" uniqueName="10" name="Target" queryTableFieldId="10"/>
    <tableColumn id="11" xr3:uid="{4EDD6397-EAF1-47B1-A480-49ADCB8665C7}" uniqueName="11" name="Target Hit %" queryTableFieldId="11"/>
    <tableColumn id="12" xr3:uid="{5D83178D-6143-4274-B90A-5ABBE9D223C2}" uniqueName="12" name="Away From Target %" queryTableField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737CDF-16A4-4CA8-885F-4AF75BAA54F7}" name="Table1" displayName="Table1" ref="A1:L142" totalsRowShown="0" headerRowDxfId="112" headerRowBorderDxfId="111" tableBorderDxfId="110" totalsRowBorderDxfId="109">
  <autoFilter ref="A1:L142" xr:uid="{4F737CDF-16A4-4CA8-885F-4AF75BAA54F7}"/>
  <tableColumns count="12">
    <tableColumn id="1" xr3:uid="{77153AB5-502F-4563-A53A-1FC40003A7FC}" name="Emp Code" dataDxfId="108"/>
    <tableColumn id="2" xr3:uid="{F995DFCD-DEB2-4E13-AC5F-FAA547877681}" name="Sales Executive" dataDxfId="107"/>
    <tableColumn id="3" xr3:uid="{C8E6CC10-344F-4E4F-9ACA-8935126C2507}" name="Region" dataDxfId="106"/>
    <tableColumn id="4" xr3:uid="{5D0D4ED6-7730-4E52-9626-E10DB0B964A8}" name="Day1" dataDxfId="105"/>
    <tableColumn id="5" xr3:uid="{DA7457C3-0C73-45DD-997D-B0B4526ACB15}" name="Day2" dataDxfId="104"/>
    <tableColumn id="6" xr3:uid="{6E292E4F-F596-4607-AB8C-5D6C5D1A196F}" name="Day3" dataDxfId="103"/>
    <tableColumn id="7" xr3:uid="{C37A420A-58C2-4D8C-A301-242726750221}" name="Day4" dataDxfId="102"/>
    <tableColumn id="8" xr3:uid="{D4757C48-D58F-4555-B497-3415EE1CAF72}" name="Day5" dataDxfId="101"/>
    <tableColumn id="9" xr3:uid="{2A94EB3C-0F41-4BBE-879E-91DF1C28C174}" name="Total Sales" dataDxfId="100">
      <calculatedColumnFormula>SUM(D2:H2)</calculatedColumnFormula>
    </tableColumn>
    <tableColumn id="10" xr3:uid="{F8D250E5-21CF-4DAE-A375-454AC58A2855}" name="Target" dataDxfId="99"/>
    <tableColumn id="11" xr3:uid="{3BB67436-66D3-4FB7-B022-82F2785E776D}" name="Target Hit %" dataDxfId="98" dataCellStyle="Percent">
      <calculatedColumnFormula>I2/J2</calculatedColumnFormula>
    </tableColumn>
    <tableColumn id="12" xr3:uid="{8D4BD9FF-6415-4E79-9D29-5037BCD6DD0B}" name="Away From Target %" dataDxfId="97">
      <calculatedColumnFormula>100%-K2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5DA7FACF-23CC-4E5C-A4D4-B91237E79F11}">
  <we:reference id="wa200007447" version="1.0.0.0" store="en-US" storeType="OMEX"/>
  <we:alternateReferences>
    <we:reference id="wa200007447" version="1.0.0.0" store="wa200007447"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_xldudf_BOARDFLARE_RUNPY</we:customFunctionIds>
        <we:customFunctionIds>_xldudf_BOARDFLARE_EXEC</we:customFunctionIds>
      </we:customFunctionIdList>
    </a:ext>
  </we:extLst>
</we:webextension>
</file>

<file path=xl/webextensions/webextension2.xml><?xml version="1.0" encoding="utf-8"?>
<we:webextension xmlns:we="http://schemas.microsoft.com/office/webextensions/webextension/2010/11" id="{4C3D2530-7EE0-4FAC-8DD1-6BABB6BF65F8}">
  <we:reference id="wa200005502" version="1.0.0.12" store="en-US" storeType="OMEX"/>
  <we:alternateReferences>
    <we:reference id="wa200005502" version="1.0.0.12" store="wa200005502" storeType="OMEX"/>
  </we:alternateReferences>
  <we:properties>
    <we:property name="docId" value="&quot;-l0VbLipMSC072EBr9qsx&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807E7-F6B5-4D93-ACE8-E10DF8DAC168}">
  <dimension ref="A2:Q27"/>
  <sheetViews>
    <sheetView showGridLines="0" tabSelected="1" workbookViewId="0">
      <selection activeCell="Q20" sqref="Q20"/>
    </sheetView>
  </sheetViews>
  <sheetFormatPr defaultRowHeight="14.4" x14ac:dyDescent="0.3"/>
  <cols>
    <col min="1" max="5" width="11.6640625" bestFit="1" customWidth="1"/>
    <col min="6" max="10" width="4" bestFit="1" customWidth="1"/>
    <col min="11" max="11" width="17.21875" bestFit="1" customWidth="1"/>
    <col min="12" max="12" width="10.44140625" bestFit="1" customWidth="1"/>
    <col min="13" max="13" width="18.77734375" bestFit="1" customWidth="1"/>
    <col min="14" max="14" width="5.21875" bestFit="1" customWidth="1"/>
    <col min="15" max="17" width="4" bestFit="1" customWidth="1"/>
    <col min="18" max="18" width="17" bestFit="1" customWidth="1"/>
    <col min="19" max="19" width="16.44140625" bestFit="1" customWidth="1"/>
    <col min="20" max="20" width="17.6640625" bestFit="1" customWidth="1"/>
    <col min="21" max="21" width="5.21875" bestFit="1" customWidth="1"/>
    <col min="22" max="22" width="5" bestFit="1" customWidth="1"/>
    <col min="23" max="35" width="6" bestFit="1" customWidth="1"/>
    <col min="36" max="36" width="10.77734375" bestFit="1" customWidth="1"/>
    <col min="37" max="38" width="4" bestFit="1" customWidth="1"/>
    <col min="39" max="39" width="5" bestFit="1" customWidth="1"/>
    <col min="40" max="55" width="4" bestFit="1" customWidth="1"/>
    <col min="56" max="56" width="5" bestFit="1" customWidth="1"/>
    <col min="57" max="59" width="4" bestFit="1" customWidth="1"/>
    <col min="60" max="60" width="5" bestFit="1" customWidth="1"/>
    <col min="61" max="63" width="4" bestFit="1" customWidth="1"/>
    <col min="64" max="64" width="5" bestFit="1" customWidth="1"/>
    <col min="65" max="69" width="4" bestFit="1" customWidth="1"/>
    <col min="70" max="71" width="5" bestFit="1" customWidth="1"/>
    <col min="72" max="72" width="10.77734375" bestFit="1" customWidth="1"/>
    <col min="73" max="206" width="21.77734375" bestFit="1" customWidth="1"/>
    <col min="207" max="207" width="21.33203125" bestFit="1" customWidth="1"/>
    <col min="208" max="208" width="26.5546875" bestFit="1" customWidth="1"/>
  </cols>
  <sheetData>
    <row r="2" spans="1:17" ht="23.4" x14ac:dyDescent="0.3">
      <c r="A2" s="20" t="s">
        <v>304</v>
      </c>
      <c r="B2" s="20"/>
      <c r="C2" s="20"/>
      <c r="D2" s="20"/>
      <c r="E2" s="20"/>
      <c r="F2" s="20"/>
      <c r="G2" s="20"/>
      <c r="H2" s="20"/>
      <c r="I2" s="20"/>
      <c r="J2" s="20"/>
      <c r="K2" s="20"/>
      <c r="L2" s="20"/>
      <c r="M2" s="20"/>
      <c r="N2" s="20"/>
    </row>
    <row r="3" spans="1:17" ht="15.6" customHeight="1" x14ac:dyDescent="0.3">
      <c r="A3" s="19" t="s">
        <v>305</v>
      </c>
      <c r="B3" s="19" t="s">
        <v>306</v>
      </c>
      <c r="C3" s="19" t="s">
        <v>307</v>
      </c>
      <c r="D3" s="19" t="s">
        <v>308</v>
      </c>
      <c r="E3" s="19" t="s">
        <v>309</v>
      </c>
      <c r="K3" s="28" t="s">
        <v>313</v>
      </c>
      <c r="L3" s="28"/>
      <c r="M3" s="28"/>
      <c r="N3" s="28"/>
    </row>
    <row r="4" spans="1:17" x14ac:dyDescent="0.3">
      <c r="A4" s="22">
        <v>1075</v>
      </c>
      <c r="B4" s="22">
        <v>827</v>
      </c>
      <c r="C4" s="22">
        <v>825</v>
      </c>
      <c r="D4" s="22">
        <v>888</v>
      </c>
      <c r="E4" s="22">
        <v>982</v>
      </c>
      <c r="K4" s="28"/>
      <c r="L4" s="28"/>
      <c r="M4" s="28"/>
      <c r="N4" s="28"/>
    </row>
    <row r="5" spans="1:17" x14ac:dyDescent="0.3">
      <c r="K5" s="6" t="s">
        <v>302</v>
      </c>
      <c r="L5" t="s">
        <v>311</v>
      </c>
      <c r="M5" t="s">
        <v>312</v>
      </c>
      <c r="N5" t="s">
        <v>310</v>
      </c>
    </row>
    <row r="6" spans="1:17" x14ac:dyDescent="0.3">
      <c r="K6" s="7" t="s">
        <v>271</v>
      </c>
      <c r="L6" s="21">
        <v>273</v>
      </c>
      <c r="M6" s="24">
        <v>0.54600000000000004</v>
      </c>
      <c r="N6" s="21">
        <v>8</v>
      </c>
    </row>
    <row r="7" spans="1:17" x14ac:dyDescent="0.3">
      <c r="K7" s="7" t="s">
        <v>255</v>
      </c>
      <c r="L7" s="21">
        <v>280</v>
      </c>
      <c r="M7" s="24">
        <v>0.56000000000000005</v>
      </c>
      <c r="N7" s="21">
        <v>7</v>
      </c>
      <c r="Q7" s="26"/>
    </row>
    <row r="8" spans="1:17" x14ac:dyDescent="0.3">
      <c r="K8" s="7" t="s">
        <v>239</v>
      </c>
      <c r="L8" s="21">
        <v>355</v>
      </c>
      <c r="M8" s="24">
        <v>0.71</v>
      </c>
      <c r="N8" s="21">
        <v>1</v>
      </c>
    </row>
    <row r="9" spans="1:17" x14ac:dyDescent="0.3">
      <c r="K9" s="7" t="s">
        <v>223</v>
      </c>
      <c r="L9" s="21">
        <v>322</v>
      </c>
      <c r="M9" s="24">
        <v>0.64400000000000002</v>
      </c>
      <c r="N9" s="21">
        <v>4</v>
      </c>
    </row>
    <row r="10" spans="1:17" x14ac:dyDescent="0.3">
      <c r="K10" s="7" t="s">
        <v>111</v>
      </c>
      <c r="L10" s="21">
        <v>350</v>
      </c>
      <c r="M10" s="24">
        <v>0.7</v>
      </c>
      <c r="N10" s="21">
        <v>3</v>
      </c>
    </row>
    <row r="11" spans="1:17" x14ac:dyDescent="0.3">
      <c r="K11" s="7" t="s">
        <v>79</v>
      </c>
      <c r="L11" s="21">
        <v>353</v>
      </c>
      <c r="M11" s="24">
        <v>0.70599999999999996</v>
      </c>
      <c r="N11" s="21">
        <v>2</v>
      </c>
    </row>
    <row r="12" spans="1:17" x14ac:dyDescent="0.3">
      <c r="K12" s="7" t="s">
        <v>63</v>
      </c>
      <c r="L12" s="21">
        <v>301</v>
      </c>
      <c r="M12" s="24">
        <v>0.60199999999999998</v>
      </c>
      <c r="N12" s="21">
        <v>5</v>
      </c>
    </row>
    <row r="13" spans="1:17" x14ac:dyDescent="0.3">
      <c r="K13" s="7" t="s">
        <v>47</v>
      </c>
      <c r="L13" s="21">
        <v>288</v>
      </c>
      <c r="M13" s="24">
        <v>0.57599999999999996</v>
      </c>
      <c r="N13" s="21">
        <v>6</v>
      </c>
    </row>
    <row r="15" spans="1:17" x14ac:dyDescent="0.3">
      <c r="K15" s="28" t="s">
        <v>314</v>
      </c>
      <c r="L15" s="28"/>
      <c r="M15" s="28"/>
      <c r="N15" s="28"/>
    </row>
    <row r="16" spans="1:17" ht="15.6" customHeight="1" x14ac:dyDescent="0.3">
      <c r="K16" s="28"/>
      <c r="L16" s="28"/>
      <c r="M16" s="28"/>
      <c r="N16" s="28"/>
    </row>
    <row r="17" spans="2:14" x14ac:dyDescent="0.3">
      <c r="K17" s="27"/>
      <c r="L17" s="27"/>
      <c r="M17" s="27"/>
      <c r="N17" s="27"/>
    </row>
    <row r="18" spans="2:14" x14ac:dyDescent="0.3">
      <c r="K18" s="23" t="s">
        <v>302</v>
      </c>
      <c r="L18" s="19" t="s">
        <v>311</v>
      </c>
      <c r="M18" s="19" t="s">
        <v>315</v>
      </c>
      <c r="N18" s="19" t="s">
        <v>310</v>
      </c>
    </row>
    <row r="19" spans="2:14" x14ac:dyDescent="0.3">
      <c r="B19" s="6" t="s">
        <v>302</v>
      </c>
      <c r="C19" t="s">
        <v>303</v>
      </c>
      <c r="K19" s="19" t="s">
        <v>287</v>
      </c>
      <c r="L19" s="29">
        <v>217</v>
      </c>
      <c r="M19" s="25">
        <v>0.56600000000000006</v>
      </c>
      <c r="N19" s="22">
        <v>4</v>
      </c>
    </row>
    <row r="20" spans="2:14" x14ac:dyDescent="0.3">
      <c r="B20" s="7" t="s">
        <v>23</v>
      </c>
      <c r="C20" s="21">
        <v>5063</v>
      </c>
      <c r="K20" s="19" t="s">
        <v>207</v>
      </c>
      <c r="L20" s="29">
        <v>205</v>
      </c>
      <c r="M20" s="25">
        <v>0.59000000000000008</v>
      </c>
      <c r="N20" s="22">
        <v>2</v>
      </c>
    </row>
    <row r="21" spans="2:14" x14ac:dyDescent="0.3">
      <c r="B21" s="7" t="s">
        <v>17</v>
      </c>
      <c r="C21" s="21">
        <v>4965</v>
      </c>
      <c r="K21" s="19" t="s">
        <v>191</v>
      </c>
      <c r="L21" s="29">
        <v>215</v>
      </c>
      <c r="M21" s="25">
        <v>0.57000000000000006</v>
      </c>
      <c r="N21" s="22">
        <v>3</v>
      </c>
    </row>
    <row r="22" spans="2:14" x14ac:dyDescent="0.3">
      <c r="B22" s="7" t="s">
        <v>14</v>
      </c>
      <c r="C22" s="21">
        <v>5197</v>
      </c>
      <c r="K22" s="19" t="s">
        <v>175</v>
      </c>
      <c r="L22" s="29">
        <v>245</v>
      </c>
      <c r="M22" s="25">
        <v>0.51</v>
      </c>
      <c r="N22" s="22">
        <v>6</v>
      </c>
    </row>
    <row r="23" spans="2:14" x14ac:dyDescent="0.3">
      <c r="B23" s="7" t="s">
        <v>20</v>
      </c>
      <c r="C23" s="21">
        <v>5248</v>
      </c>
      <c r="K23" s="19" t="s">
        <v>159</v>
      </c>
      <c r="L23" s="29">
        <v>229</v>
      </c>
      <c r="M23" s="25">
        <v>0.54200000000000004</v>
      </c>
      <c r="N23" s="22">
        <v>5</v>
      </c>
    </row>
    <row r="24" spans="2:14" x14ac:dyDescent="0.3">
      <c r="B24" s="7" t="s">
        <v>29</v>
      </c>
      <c r="C24" s="21">
        <v>4597</v>
      </c>
      <c r="K24" s="19" t="s">
        <v>143</v>
      </c>
      <c r="L24" s="29">
        <v>246</v>
      </c>
      <c r="M24" s="25">
        <v>0.50800000000000001</v>
      </c>
      <c r="N24" s="22">
        <v>7</v>
      </c>
    </row>
    <row r="25" spans="2:14" x14ac:dyDescent="0.3">
      <c r="B25" s="7" t="s">
        <v>26</v>
      </c>
      <c r="C25" s="21">
        <v>5067</v>
      </c>
      <c r="K25" s="19" t="s">
        <v>127</v>
      </c>
      <c r="L25" s="29">
        <v>189</v>
      </c>
      <c r="M25" s="25">
        <v>0.622</v>
      </c>
      <c r="N25" s="22">
        <v>1</v>
      </c>
    </row>
    <row r="26" spans="2:14" x14ac:dyDescent="0.3">
      <c r="B26" s="7" t="s">
        <v>32</v>
      </c>
      <c r="C26" s="21">
        <v>4296</v>
      </c>
      <c r="K26" s="19" t="s">
        <v>95</v>
      </c>
      <c r="L26" s="29">
        <v>264</v>
      </c>
      <c r="M26" s="25">
        <v>0.47199999999999998</v>
      </c>
      <c r="N26" s="22">
        <v>8</v>
      </c>
    </row>
    <row r="27" spans="2:14" x14ac:dyDescent="0.3">
      <c r="B27" s="7" t="s">
        <v>35</v>
      </c>
      <c r="C27" s="21">
        <v>4512</v>
      </c>
    </row>
  </sheetData>
  <mergeCells count="4">
    <mergeCell ref="K3:N4"/>
    <mergeCell ref="K15:N16"/>
    <mergeCell ref="K17:N17"/>
    <mergeCell ref="A2:N2"/>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A2D08-9E26-4AC6-B66E-7251B1A52A15}">
  <dimension ref="A1:L142"/>
  <sheetViews>
    <sheetView topLeftCell="A2" workbookViewId="0">
      <selection activeCell="A2" sqref="A2:L142"/>
    </sheetView>
  </sheetViews>
  <sheetFormatPr defaultRowHeight="14.4" x14ac:dyDescent="0.3"/>
  <cols>
    <col min="1" max="1" width="11.88671875" bestFit="1" customWidth="1"/>
    <col min="2" max="2" width="19.33203125" bestFit="1" customWidth="1"/>
    <col min="3" max="3" width="9" bestFit="1" customWidth="1"/>
    <col min="4" max="8" width="7.44140625" bestFit="1" customWidth="1"/>
    <col min="9" max="9" width="12.109375" bestFit="1" customWidth="1"/>
    <col min="10" max="10" width="8.5546875" bestFit="1" customWidth="1"/>
    <col min="11" max="11" width="13.21875" bestFit="1" customWidth="1"/>
    <col min="12" max="12" width="20.5546875" bestFit="1"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t="s">
        <v>13</v>
      </c>
      <c r="C2" t="s">
        <v>14</v>
      </c>
      <c r="D2">
        <v>49</v>
      </c>
      <c r="E2">
        <v>84</v>
      </c>
      <c r="F2">
        <v>98</v>
      </c>
      <c r="G2">
        <v>67</v>
      </c>
      <c r="H2">
        <v>41</v>
      </c>
      <c r="I2">
        <v>339</v>
      </c>
      <c r="J2">
        <v>500</v>
      </c>
      <c r="K2">
        <v>0.67800000000000005</v>
      </c>
      <c r="L2">
        <v>0.32199999999999995</v>
      </c>
    </row>
    <row r="3" spans="1:12" x14ac:dyDescent="0.3">
      <c r="A3" t="s">
        <v>15</v>
      </c>
      <c r="B3" t="s">
        <v>16</v>
      </c>
      <c r="C3" t="s">
        <v>17</v>
      </c>
      <c r="D3">
        <v>44</v>
      </c>
      <c r="E3">
        <v>85</v>
      </c>
      <c r="F3">
        <v>47</v>
      </c>
      <c r="G3">
        <v>15</v>
      </c>
      <c r="H3">
        <v>48</v>
      </c>
      <c r="I3">
        <v>239</v>
      </c>
      <c r="J3">
        <v>500</v>
      </c>
      <c r="K3">
        <v>0.47799999999999998</v>
      </c>
      <c r="L3">
        <v>0.52200000000000002</v>
      </c>
    </row>
    <row r="4" spans="1:12" x14ac:dyDescent="0.3">
      <c r="A4" t="s">
        <v>18</v>
      </c>
      <c r="B4" t="s">
        <v>19</v>
      </c>
      <c r="C4" t="s">
        <v>20</v>
      </c>
      <c r="D4">
        <v>45</v>
      </c>
      <c r="E4">
        <v>79</v>
      </c>
      <c r="F4">
        <v>88</v>
      </c>
      <c r="G4">
        <v>73</v>
      </c>
      <c r="H4">
        <v>94</v>
      </c>
      <c r="I4">
        <v>379</v>
      </c>
      <c r="J4">
        <v>500</v>
      </c>
      <c r="K4">
        <v>0.75800000000000001</v>
      </c>
      <c r="L4">
        <v>0.24199999999999999</v>
      </c>
    </row>
    <row r="5" spans="1:12" x14ac:dyDescent="0.3">
      <c r="A5" t="s">
        <v>21</v>
      </c>
      <c r="B5" t="s">
        <v>22</v>
      </c>
      <c r="C5" t="s">
        <v>23</v>
      </c>
      <c r="D5">
        <v>52</v>
      </c>
      <c r="E5">
        <v>99</v>
      </c>
      <c r="F5">
        <v>13</v>
      </c>
      <c r="G5">
        <v>95</v>
      </c>
      <c r="H5">
        <v>29</v>
      </c>
      <c r="I5">
        <v>288</v>
      </c>
      <c r="J5">
        <v>500</v>
      </c>
      <c r="K5">
        <v>0.57599999999999996</v>
      </c>
      <c r="L5">
        <v>0.42400000000000004</v>
      </c>
    </row>
    <row r="6" spans="1:12" x14ac:dyDescent="0.3">
      <c r="A6" t="s">
        <v>24</v>
      </c>
      <c r="B6" t="s">
        <v>25</v>
      </c>
      <c r="C6" t="s">
        <v>26</v>
      </c>
      <c r="D6">
        <v>35</v>
      </c>
      <c r="E6">
        <v>54</v>
      </c>
      <c r="F6">
        <v>49</v>
      </c>
      <c r="G6">
        <v>26</v>
      </c>
      <c r="H6">
        <v>49</v>
      </c>
      <c r="I6">
        <v>213</v>
      </c>
      <c r="J6">
        <v>500</v>
      </c>
      <c r="K6">
        <v>0.42599999999999999</v>
      </c>
      <c r="L6">
        <v>0.57400000000000007</v>
      </c>
    </row>
    <row r="7" spans="1:12" x14ac:dyDescent="0.3">
      <c r="A7" t="s">
        <v>27</v>
      </c>
      <c r="B7" t="s">
        <v>28</v>
      </c>
      <c r="C7" t="s">
        <v>29</v>
      </c>
      <c r="D7">
        <v>86</v>
      </c>
      <c r="E7">
        <v>31</v>
      </c>
      <c r="F7">
        <v>23</v>
      </c>
      <c r="G7">
        <v>48</v>
      </c>
      <c r="H7">
        <v>77</v>
      </c>
      <c r="I7">
        <v>265</v>
      </c>
      <c r="J7">
        <v>500</v>
      </c>
      <c r="K7">
        <v>0.53</v>
      </c>
      <c r="L7">
        <v>0.47</v>
      </c>
    </row>
    <row r="8" spans="1:12" x14ac:dyDescent="0.3">
      <c r="A8" t="s">
        <v>30</v>
      </c>
      <c r="B8" t="s">
        <v>31</v>
      </c>
      <c r="C8" t="s">
        <v>32</v>
      </c>
      <c r="D8">
        <v>84</v>
      </c>
      <c r="E8">
        <v>28</v>
      </c>
      <c r="F8">
        <v>98</v>
      </c>
      <c r="G8">
        <v>80</v>
      </c>
      <c r="H8">
        <v>79</v>
      </c>
      <c r="I8">
        <v>369</v>
      </c>
      <c r="J8">
        <v>500</v>
      </c>
      <c r="K8">
        <v>0.73799999999999999</v>
      </c>
      <c r="L8">
        <v>0.26200000000000001</v>
      </c>
    </row>
    <row r="9" spans="1:12" x14ac:dyDescent="0.3">
      <c r="A9" t="s">
        <v>33</v>
      </c>
      <c r="B9" t="s">
        <v>34</v>
      </c>
      <c r="C9" t="s">
        <v>35</v>
      </c>
      <c r="D9">
        <v>73</v>
      </c>
      <c r="E9">
        <v>97</v>
      </c>
      <c r="F9">
        <v>38</v>
      </c>
      <c r="G9">
        <v>24</v>
      </c>
      <c r="H9">
        <v>53</v>
      </c>
      <c r="I9">
        <v>285</v>
      </c>
      <c r="J9">
        <v>500</v>
      </c>
      <c r="K9">
        <v>0.56999999999999995</v>
      </c>
      <c r="L9">
        <v>0.43000000000000005</v>
      </c>
    </row>
    <row r="10" spans="1:12" x14ac:dyDescent="0.3">
      <c r="A10" t="s">
        <v>36</v>
      </c>
      <c r="B10" t="s">
        <v>37</v>
      </c>
      <c r="C10" t="s">
        <v>14</v>
      </c>
      <c r="D10">
        <v>54</v>
      </c>
      <c r="E10">
        <v>26</v>
      </c>
      <c r="F10">
        <v>53</v>
      </c>
      <c r="G10">
        <v>36</v>
      </c>
      <c r="H10">
        <v>20</v>
      </c>
      <c r="I10">
        <v>189</v>
      </c>
      <c r="J10">
        <v>500</v>
      </c>
      <c r="K10">
        <v>0.378</v>
      </c>
      <c r="L10">
        <v>0.622</v>
      </c>
    </row>
    <row r="11" spans="1:12" x14ac:dyDescent="0.3">
      <c r="A11" t="s">
        <v>38</v>
      </c>
      <c r="B11" t="s">
        <v>39</v>
      </c>
      <c r="C11" t="s">
        <v>17</v>
      </c>
      <c r="D11">
        <v>52</v>
      </c>
      <c r="E11">
        <v>52</v>
      </c>
      <c r="F11">
        <v>19</v>
      </c>
      <c r="G11">
        <v>53</v>
      </c>
      <c r="H11">
        <v>37</v>
      </c>
      <c r="I11">
        <v>213</v>
      </c>
      <c r="J11">
        <v>500</v>
      </c>
      <c r="K11">
        <v>0.42599999999999999</v>
      </c>
      <c r="L11">
        <v>0.57400000000000007</v>
      </c>
    </row>
    <row r="12" spans="1:12" x14ac:dyDescent="0.3">
      <c r="A12" t="s">
        <v>40</v>
      </c>
      <c r="B12" t="s">
        <v>41</v>
      </c>
      <c r="C12" t="s">
        <v>20</v>
      </c>
      <c r="D12">
        <v>63</v>
      </c>
      <c r="E12">
        <v>17</v>
      </c>
      <c r="F12">
        <v>40</v>
      </c>
      <c r="G12">
        <v>48</v>
      </c>
      <c r="H12">
        <v>51</v>
      </c>
      <c r="I12">
        <v>219</v>
      </c>
      <c r="J12">
        <v>500</v>
      </c>
      <c r="K12">
        <v>0.438</v>
      </c>
      <c r="L12">
        <v>0.56200000000000006</v>
      </c>
    </row>
    <row r="13" spans="1:12" x14ac:dyDescent="0.3">
      <c r="A13" t="s">
        <v>42</v>
      </c>
      <c r="B13" t="s">
        <v>43</v>
      </c>
      <c r="C13" t="s">
        <v>23</v>
      </c>
      <c r="D13">
        <v>79</v>
      </c>
      <c r="E13">
        <v>99</v>
      </c>
      <c r="F13">
        <v>95</v>
      </c>
      <c r="G13">
        <v>12</v>
      </c>
      <c r="H13">
        <v>91</v>
      </c>
      <c r="I13">
        <v>376</v>
      </c>
      <c r="J13">
        <v>500</v>
      </c>
      <c r="K13">
        <v>0.752</v>
      </c>
      <c r="L13">
        <v>0.248</v>
      </c>
    </row>
    <row r="14" spans="1:12" x14ac:dyDescent="0.3">
      <c r="A14" t="s">
        <v>44</v>
      </c>
      <c r="B14" t="s">
        <v>45</v>
      </c>
      <c r="C14" t="s">
        <v>26</v>
      </c>
      <c r="D14">
        <v>95</v>
      </c>
      <c r="E14">
        <v>88</v>
      </c>
      <c r="F14">
        <v>11</v>
      </c>
      <c r="G14">
        <v>78</v>
      </c>
      <c r="H14">
        <v>60</v>
      </c>
      <c r="I14">
        <v>332</v>
      </c>
      <c r="J14">
        <v>500</v>
      </c>
      <c r="K14">
        <v>0.66400000000000003</v>
      </c>
      <c r="L14">
        <v>0.33599999999999997</v>
      </c>
    </row>
    <row r="15" spans="1:12" x14ac:dyDescent="0.3">
      <c r="A15" t="s">
        <v>46</v>
      </c>
      <c r="B15" t="s">
        <v>47</v>
      </c>
      <c r="C15" t="s">
        <v>29</v>
      </c>
      <c r="D15">
        <v>83</v>
      </c>
      <c r="E15">
        <v>77</v>
      </c>
      <c r="F15">
        <v>66</v>
      </c>
      <c r="G15">
        <v>22</v>
      </c>
      <c r="H15">
        <v>40</v>
      </c>
      <c r="I15">
        <v>288</v>
      </c>
      <c r="J15">
        <v>500</v>
      </c>
      <c r="K15">
        <v>0.57599999999999996</v>
      </c>
      <c r="L15">
        <v>0.42400000000000004</v>
      </c>
    </row>
    <row r="16" spans="1:12" x14ac:dyDescent="0.3">
      <c r="A16" t="s">
        <v>48</v>
      </c>
      <c r="B16" t="s">
        <v>49</v>
      </c>
      <c r="C16" t="s">
        <v>32</v>
      </c>
      <c r="D16">
        <v>78</v>
      </c>
      <c r="E16">
        <v>58</v>
      </c>
      <c r="F16">
        <v>34</v>
      </c>
      <c r="G16">
        <v>84</v>
      </c>
      <c r="H16">
        <v>31</v>
      </c>
      <c r="I16">
        <v>285</v>
      </c>
      <c r="J16">
        <v>500</v>
      </c>
      <c r="K16">
        <v>0.56999999999999995</v>
      </c>
      <c r="L16">
        <v>0.43000000000000005</v>
      </c>
    </row>
    <row r="17" spans="1:12" x14ac:dyDescent="0.3">
      <c r="A17" t="s">
        <v>50</v>
      </c>
      <c r="B17" t="s">
        <v>51</v>
      </c>
      <c r="C17" t="s">
        <v>35</v>
      </c>
      <c r="D17">
        <v>14</v>
      </c>
      <c r="E17">
        <v>25</v>
      </c>
      <c r="F17">
        <v>45</v>
      </c>
      <c r="G17">
        <v>70</v>
      </c>
      <c r="H17">
        <v>45</v>
      </c>
      <c r="I17">
        <v>199</v>
      </c>
      <c r="J17">
        <v>500</v>
      </c>
      <c r="K17">
        <v>0.39800000000000002</v>
      </c>
      <c r="L17">
        <v>0.60199999999999998</v>
      </c>
    </row>
    <row r="18" spans="1:12" x14ac:dyDescent="0.3">
      <c r="A18" t="s">
        <v>52</v>
      </c>
      <c r="B18" t="s">
        <v>53</v>
      </c>
      <c r="C18" t="s">
        <v>14</v>
      </c>
      <c r="D18">
        <v>37</v>
      </c>
      <c r="E18">
        <v>69</v>
      </c>
      <c r="F18">
        <v>96</v>
      </c>
      <c r="G18">
        <v>66</v>
      </c>
      <c r="H18">
        <v>38</v>
      </c>
      <c r="I18">
        <v>306</v>
      </c>
      <c r="J18">
        <v>500</v>
      </c>
      <c r="K18">
        <v>0.61199999999999999</v>
      </c>
      <c r="L18">
        <v>0.38800000000000001</v>
      </c>
    </row>
    <row r="19" spans="1:12" x14ac:dyDescent="0.3">
      <c r="A19" t="s">
        <v>54</v>
      </c>
      <c r="B19" t="s">
        <v>55</v>
      </c>
      <c r="C19" t="s">
        <v>17</v>
      </c>
      <c r="D19">
        <v>11</v>
      </c>
      <c r="E19">
        <v>46</v>
      </c>
      <c r="F19">
        <v>91</v>
      </c>
      <c r="G19">
        <v>98</v>
      </c>
      <c r="H19">
        <v>45</v>
      </c>
      <c r="I19">
        <v>291</v>
      </c>
      <c r="J19">
        <v>500</v>
      </c>
      <c r="K19">
        <v>0.58199999999999996</v>
      </c>
      <c r="L19">
        <v>0.41800000000000004</v>
      </c>
    </row>
    <row r="20" spans="1:12" x14ac:dyDescent="0.3">
      <c r="A20" t="s">
        <v>56</v>
      </c>
      <c r="B20" t="s">
        <v>57</v>
      </c>
      <c r="C20" t="s">
        <v>20</v>
      </c>
      <c r="D20">
        <v>19</v>
      </c>
      <c r="E20">
        <v>34</v>
      </c>
      <c r="F20">
        <v>64</v>
      </c>
      <c r="G20">
        <v>65</v>
      </c>
      <c r="H20">
        <v>70</v>
      </c>
      <c r="I20">
        <v>252</v>
      </c>
      <c r="J20">
        <v>500</v>
      </c>
      <c r="K20">
        <v>0.504</v>
      </c>
      <c r="L20">
        <v>0.496</v>
      </c>
    </row>
    <row r="21" spans="1:12" x14ac:dyDescent="0.3">
      <c r="A21" t="s">
        <v>58</v>
      </c>
      <c r="B21" t="s">
        <v>59</v>
      </c>
      <c r="C21" t="s">
        <v>23</v>
      </c>
      <c r="D21">
        <v>93</v>
      </c>
      <c r="E21">
        <v>84</v>
      </c>
      <c r="F21">
        <v>13</v>
      </c>
      <c r="G21">
        <v>45</v>
      </c>
      <c r="H21">
        <v>18</v>
      </c>
      <c r="I21">
        <v>253</v>
      </c>
      <c r="J21">
        <v>500</v>
      </c>
      <c r="K21">
        <v>0.50600000000000001</v>
      </c>
      <c r="L21">
        <v>0.49399999999999999</v>
      </c>
    </row>
    <row r="22" spans="1:12" x14ac:dyDescent="0.3">
      <c r="A22" t="s">
        <v>60</v>
      </c>
      <c r="B22" t="s">
        <v>61</v>
      </c>
      <c r="C22" t="s">
        <v>26</v>
      </c>
      <c r="D22">
        <v>68</v>
      </c>
      <c r="E22">
        <v>73</v>
      </c>
      <c r="F22">
        <v>97</v>
      </c>
      <c r="G22">
        <v>76</v>
      </c>
      <c r="H22">
        <v>53</v>
      </c>
      <c r="I22">
        <v>367</v>
      </c>
      <c r="J22">
        <v>500</v>
      </c>
      <c r="K22">
        <v>0.73399999999999999</v>
      </c>
      <c r="L22">
        <v>0.26600000000000001</v>
      </c>
    </row>
    <row r="23" spans="1:12" x14ac:dyDescent="0.3">
      <c r="A23" t="s">
        <v>62</v>
      </c>
      <c r="B23" t="s">
        <v>63</v>
      </c>
      <c r="C23" t="s">
        <v>29</v>
      </c>
      <c r="D23">
        <v>99</v>
      </c>
      <c r="E23">
        <v>17</v>
      </c>
      <c r="F23">
        <v>48</v>
      </c>
      <c r="G23">
        <v>44</v>
      </c>
      <c r="H23">
        <v>93</v>
      </c>
      <c r="I23">
        <v>301</v>
      </c>
      <c r="J23">
        <v>500</v>
      </c>
      <c r="K23">
        <v>0.60199999999999998</v>
      </c>
      <c r="L23">
        <v>0.39800000000000002</v>
      </c>
    </row>
    <row r="24" spans="1:12" x14ac:dyDescent="0.3">
      <c r="A24" t="s">
        <v>64</v>
      </c>
      <c r="B24" t="s">
        <v>65</v>
      </c>
      <c r="C24" t="s">
        <v>32</v>
      </c>
      <c r="D24">
        <v>57</v>
      </c>
      <c r="E24">
        <v>28</v>
      </c>
      <c r="F24">
        <v>31</v>
      </c>
      <c r="G24">
        <v>34</v>
      </c>
      <c r="H24">
        <v>52</v>
      </c>
      <c r="I24">
        <v>202</v>
      </c>
      <c r="J24">
        <v>500</v>
      </c>
      <c r="K24">
        <v>0.40400000000000003</v>
      </c>
      <c r="L24">
        <v>0.59599999999999997</v>
      </c>
    </row>
    <row r="25" spans="1:12" x14ac:dyDescent="0.3">
      <c r="A25" t="s">
        <v>66</v>
      </c>
      <c r="B25" t="s">
        <v>67</v>
      </c>
      <c r="C25" t="s">
        <v>35</v>
      </c>
      <c r="D25">
        <v>40</v>
      </c>
      <c r="E25">
        <v>22</v>
      </c>
      <c r="F25">
        <v>18</v>
      </c>
      <c r="G25">
        <v>11</v>
      </c>
      <c r="H25">
        <v>92</v>
      </c>
      <c r="I25">
        <v>183</v>
      </c>
      <c r="J25">
        <v>500</v>
      </c>
      <c r="K25">
        <v>0.36599999999999999</v>
      </c>
      <c r="L25">
        <v>0.63400000000000001</v>
      </c>
    </row>
    <row r="26" spans="1:12" x14ac:dyDescent="0.3">
      <c r="A26" t="s">
        <v>68</v>
      </c>
      <c r="B26" t="s">
        <v>69</v>
      </c>
      <c r="C26" t="s">
        <v>14</v>
      </c>
      <c r="D26">
        <v>47</v>
      </c>
      <c r="E26">
        <v>99</v>
      </c>
      <c r="F26">
        <v>94</v>
      </c>
      <c r="G26">
        <v>75</v>
      </c>
      <c r="H26">
        <v>29</v>
      </c>
      <c r="I26">
        <v>344</v>
      </c>
      <c r="J26">
        <v>500</v>
      </c>
      <c r="K26">
        <v>0.68799999999999994</v>
      </c>
      <c r="L26">
        <v>0.31200000000000006</v>
      </c>
    </row>
    <row r="27" spans="1:12" x14ac:dyDescent="0.3">
      <c r="A27" t="s">
        <v>70</v>
      </c>
      <c r="B27" t="s">
        <v>71</v>
      </c>
      <c r="C27" t="s">
        <v>17</v>
      </c>
      <c r="D27">
        <v>16</v>
      </c>
      <c r="E27">
        <v>71</v>
      </c>
      <c r="F27">
        <v>80</v>
      </c>
      <c r="G27">
        <v>76</v>
      </c>
      <c r="H27">
        <v>33</v>
      </c>
      <c r="I27">
        <v>276</v>
      </c>
      <c r="J27">
        <v>500</v>
      </c>
      <c r="K27">
        <v>0.55200000000000005</v>
      </c>
      <c r="L27">
        <v>0.44799999999999995</v>
      </c>
    </row>
    <row r="28" spans="1:12" x14ac:dyDescent="0.3">
      <c r="A28" t="s">
        <v>72</v>
      </c>
      <c r="B28" t="s">
        <v>73</v>
      </c>
      <c r="C28" t="s">
        <v>20</v>
      </c>
      <c r="D28">
        <v>72</v>
      </c>
      <c r="E28">
        <v>87</v>
      </c>
      <c r="F28">
        <v>92</v>
      </c>
      <c r="G28">
        <v>72</v>
      </c>
      <c r="H28">
        <v>34</v>
      </c>
      <c r="I28">
        <v>357</v>
      </c>
      <c r="J28">
        <v>500</v>
      </c>
      <c r="K28">
        <v>0.71399999999999997</v>
      </c>
      <c r="L28">
        <v>0.28600000000000003</v>
      </c>
    </row>
    <row r="29" spans="1:12" x14ac:dyDescent="0.3">
      <c r="A29" t="s">
        <v>74</v>
      </c>
      <c r="B29" t="s">
        <v>75</v>
      </c>
      <c r="C29" t="s">
        <v>23</v>
      </c>
      <c r="D29">
        <v>30</v>
      </c>
      <c r="E29">
        <v>38</v>
      </c>
      <c r="F29">
        <v>70</v>
      </c>
      <c r="G29">
        <v>89</v>
      </c>
      <c r="H29">
        <v>97</v>
      </c>
      <c r="I29">
        <v>324</v>
      </c>
      <c r="J29">
        <v>500</v>
      </c>
      <c r="K29">
        <v>0.64800000000000002</v>
      </c>
      <c r="L29">
        <v>0.35199999999999998</v>
      </c>
    </row>
    <row r="30" spans="1:12" x14ac:dyDescent="0.3">
      <c r="A30" t="s">
        <v>76</v>
      </c>
      <c r="B30" t="s">
        <v>77</v>
      </c>
      <c r="C30" t="s">
        <v>26</v>
      </c>
      <c r="D30">
        <v>65</v>
      </c>
      <c r="E30">
        <v>90</v>
      </c>
      <c r="F30">
        <v>91</v>
      </c>
      <c r="G30">
        <v>85</v>
      </c>
      <c r="H30">
        <v>10</v>
      </c>
      <c r="I30">
        <v>341</v>
      </c>
      <c r="J30">
        <v>500</v>
      </c>
      <c r="K30">
        <v>0.68200000000000005</v>
      </c>
      <c r="L30">
        <v>0.31799999999999995</v>
      </c>
    </row>
    <row r="31" spans="1:12" x14ac:dyDescent="0.3">
      <c r="A31" t="s">
        <v>78</v>
      </c>
      <c r="B31" t="s">
        <v>79</v>
      </c>
      <c r="C31" t="s">
        <v>29</v>
      </c>
      <c r="D31">
        <v>83</v>
      </c>
      <c r="E31">
        <v>46</v>
      </c>
      <c r="F31">
        <v>99</v>
      </c>
      <c r="G31">
        <v>36</v>
      </c>
      <c r="H31">
        <v>89</v>
      </c>
      <c r="I31">
        <v>353</v>
      </c>
      <c r="J31">
        <v>500</v>
      </c>
      <c r="K31">
        <v>0.70599999999999996</v>
      </c>
      <c r="L31">
        <v>0.29400000000000004</v>
      </c>
    </row>
    <row r="32" spans="1:12" x14ac:dyDescent="0.3">
      <c r="A32" t="s">
        <v>80</v>
      </c>
      <c r="B32" t="s">
        <v>81</v>
      </c>
      <c r="C32" t="s">
        <v>32</v>
      </c>
      <c r="D32">
        <v>10</v>
      </c>
      <c r="E32">
        <v>66</v>
      </c>
      <c r="F32">
        <v>40</v>
      </c>
      <c r="G32">
        <v>22</v>
      </c>
      <c r="H32">
        <v>38</v>
      </c>
      <c r="I32">
        <v>176</v>
      </c>
      <c r="J32">
        <v>500</v>
      </c>
      <c r="K32">
        <v>0.35199999999999998</v>
      </c>
      <c r="L32">
        <v>0.64800000000000002</v>
      </c>
    </row>
    <row r="33" spans="1:12" x14ac:dyDescent="0.3">
      <c r="A33" t="s">
        <v>82</v>
      </c>
      <c r="B33" t="s">
        <v>83</v>
      </c>
      <c r="C33" t="s">
        <v>35</v>
      </c>
      <c r="D33">
        <v>37</v>
      </c>
      <c r="E33">
        <v>30</v>
      </c>
      <c r="F33">
        <v>19</v>
      </c>
      <c r="G33">
        <v>77</v>
      </c>
      <c r="H33">
        <v>67</v>
      </c>
      <c r="I33">
        <v>230</v>
      </c>
      <c r="J33">
        <v>500</v>
      </c>
      <c r="K33">
        <v>0.46</v>
      </c>
      <c r="L33">
        <v>0.54</v>
      </c>
    </row>
    <row r="34" spans="1:12" x14ac:dyDescent="0.3">
      <c r="A34" t="s">
        <v>84</v>
      </c>
      <c r="B34" t="s">
        <v>85</v>
      </c>
      <c r="C34" t="s">
        <v>14</v>
      </c>
      <c r="D34">
        <v>83</v>
      </c>
      <c r="E34">
        <v>46</v>
      </c>
      <c r="F34">
        <v>17</v>
      </c>
      <c r="G34">
        <v>94</v>
      </c>
      <c r="H34">
        <v>92</v>
      </c>
      <c r="I34">
        <v>332</v>
      </c>
      <c r="J34">
        <v>500</v>
      </c>
      <c r="K34">
        <v>0.66400000000000003</v>
      </c>
      <c r="L34">
        <v>0.33599999999999997</v>
      </c>
    </row>
    <row r="35" spans="1:12" x14ac:dyDescent="0.3">
      <c r="A35" t="s">
        <v>86</v>
      </c>
      <c r="B35" t="s">
        <v>87</v>
      </c>
      <c r="C35" t="s">
        <v>17</v>
      </c>
      <c r="D35">
        <v>84</v>
      </c>
      <c r="E35">
        <v>59</v>
      </c>
      <c r="F35">
        <v>41</v>
      </c>
      <c r="G35">
        <v>17</v>
      </c>
      <c r="H35">
        <v>22</v>
      </c>
      <c r="I35">
        <v>223</v>
      </c>
      <c r="J35">
        <v>500</v>
      </c>
      <c r="K35">
        <v>0.44600000000000001</v>
      </c>
      <c r="L35">
        <v>0.55400000000000005</v>
      </c>
    </row>
    <row r="36" spans="1:12" x14ac:dyDescent="0.3">
      <c r="A36" t="s">
        <v>88</v>
      </c>
      <c r="B36" t="s">
        <v>89</v>
      </c>
      <c r="C36" t="s">
        <v>20</v>
      </c>
      <c r="D36">
        <v>82</v>
      </c>
      <c r="E36">
        <v>54</v>
      </c>
      <c r="F36">
        <v>79</v>
      </c>
      <c r="G36">
        <v>61</v>
      </c>
      <c r="H36">
        <v>47</v>
      </c>
      <c r="I36">
        <v>323</v>
      </c>
      <c r="J36">
        <v>500</v>
      </c>
      <c r="K36">
        <v>0.64600000000000002</v>
      </c>
      <c r="L36">
        <v>0.35399999999999998</v>
      </c>
    </row>
    <row r="37" spans="1:12" x14ac:dyDescent="0.3">
      <c r="A37" t="s">
        <v>90</v>
      </c>
      <c r="B37" t="s">
        <v>91</v>
      </c>
      <c r="C37" t="s">
        <v>23</v>
      </c>
      <c r="D37">
        <v>47</v>
      </c>
      <c r="E37">
        <v>23</v>
      </c>
      <c r="F37">
        <v>19</v>
      </c>
      <c r="G37">
        <v>64</v>
      </c>
      <c r="H37">
        <v>61</v>
      </c>
      <c r="I37">
        <v>214</v>
      </c>
      <c r="J37">
        <v>500</v>
      </c>
      <c r="K37">
        <v>0.42799999999999999</v>
      </c>
      <c r="L37">
        <v>0.57200000000000006</v>
      </c>
    </row>
    <row r="38" spans="1:12" x14ac:dyDescent="0.3">
      <c r="A38" t="s">
        <v>92</v>
      </c>
      <c r="B38" t="s">
        <v>93</v>
      </c>
      <c r="C38" t="s">
        <v>26</v>
      </c>
      <c r="D38">
        <v>91</v>
      </c>
      <c r="E38">
        <v>13</v>
      </c>
      <c r="F38">
        <v>79</v>
      </c>
      <c r="G38">
        <v>85</v>
      </c>
      <c r="H38">
        <v>67</v>
      </c>
      <c r="I38">
        <v>335</v>
      </c>
      <c r="J38">
        <v>500</v>
      </c>
      <c r="K38">
        <v>0.67</v>
      </c>
      <c r="L38">
        <v>0.32999999999999996</v>
      </c>
    </row>
    <row r="39" spans="1:12" x14ac:dyDescent="0.3">
      <c r="A39" t="s">
        <v>94</v>
      </c>
      <c r="B39" t="s">
        <v>95</v>
      </c>
      <c r="C39" t="s">
        <v>29</v>
      </c>
      <c r="D39">
        <v>66</v>
      </c>
      <c r="E39">
        <v>59</v>
      </c>
      <c r="F39">
        <v>25</v>
      </c>
      <c r="G39">
        <v>55</v>
      </c>
      <c r="H39">
        <v>59</v>
      </c>
      <c r="I39">
        <v>264</v>
      </c>
      <c r="J39">
        <v>500</v>
      </c>
      <c r="K39">
        <v>0.52800000000000002</v>
      </c>
      <c r="L39">
        <v>0.47199999999999998</v>
      </c>
    </row>
    <row r="40" spans="1:12" x14ac:dyDescent="0.3">
      <c r="A40" t="s">
        <v>96</v>
      </c>
      <c r="B40" t="s">
        <v>97</v>
      </c>
      <c r="C40" t="s">
        <v>32</v>
      </c>
      <c r="D40">
        <v>70</v>
      </c>
      <c r="E40">
        <v>18</v>
      </c>
      <c r="F40">
        <v>88</v>
      </c>
      <c r="G40">
        <v>46</v>
      </c>
      <c r="H40">
        <v>52</v>
      </c>
      <c r="I40">
        <v>274</v>
      </c>
      <c r="J40">
        <v>500</v>
      </c>
      <c r="K40">
        <v>0.54800000000000004</v>
      </c>
      <c r="L40">
        <v>0.45199999999999996</v>
      </c>
    </row>
    <row r="41" spans="1:12" x14ac:dyDescent="0.3">
      <c r="A41" t="s">
        <v>98</v>
      </c>
      <c r="B41" t="s">
        <v>99</v>
      </c>
      <c r="C41" t="s">
        <v>35</v>
      </c>
      <c r="D41">
        <v>37</v>
      </c>
      <c r="E41">
        <v>60</v>
      </c>
      <c r="F41">
        <v>44</v>
      </c>
      <c r="G41">
        <v>61</v>
      </c>
      <c r="H41">
        <v>30</v>
      </c>
      <c r="I41">
        <v>232</v>
      </c>
      <c r="J41">
        <v>500</v>
      </c>
      <c r="K41">
        <v>0.46400000000000002</v>
      </c>
      <c r="L41">
        <v>0.53600000000000003</v>
      </c>
    </row>
    <row r="42" spans="1:12" x14ac:dyDescent="0.3">
      <c r="A42" t="s">
        <v>100</v>
      </c>
      <c r="B42" t="s">
        <v>101</v>
      </c>
      <c r="C42" t="s">
        <v>14</v>
      </c>
      <c r="D42">
        <v>16</v>
      </c>
      <c r="E42">
        <v>46</v>
      </c>
      <c r="F42">
        <v>33</v>
      </c>
      <c r="G42">
        <v>54</v>
      </c>
      <c r="H42">
        <v>58</v>
      </c>
      <c r="I42">
        <v>207</v>
      </c>
      <c r="J42">
        <v>500</v>
      </c>
      <c r="K42">
        <v>0.41399999999999998</v>
      </c>
      <c r="L42">
        <v>0.58600000000000008</v>
      </c>
    </row>
    <row r="43" spans="1:12" x14ac:dyDescent="0.3">
      <c r="A43" t="s">
        <v>102</v>
      </c>
      <c r="B43" t="s">
        <v>103</v>
      </c>
      <c r="C43" t="s">
        <v>17</v>
      </c>
      <c r="D43">
        <v>47</v>
      </c>
      <c r="E43">
        <v>97</v>
      </c>
      <c r="F43">
        <v>74</v>
      </c>
      <c r="G43">
        <v>97</v>
      </c>
      <c r="H43">
        <v>56</v>
      </c>
      <c r="I43">
        <v>371</v>
      </c>
      <c r="J43">
        <v>500</v>
      </c>
      <c r="K43">
        <v>0.74199999999999999</v>
      </c>
      <c r="L43">
        <v>0.25800000000000001</v>
      </c>
    </row>
    <row r="44" spans="1:12" x14ac:dyDescent="0.3">
      <c r="A44" t="s">
        <v>104</v>
      </c>
      <c r="B44" t="s">
        <v>105</v>
      </c>
      <c r="C44" t="s">
        <v>20</v>
      </c>
      <c r="D44">
        <v>86</v>
      </c>
      <c r="E44">
        <v>22</v>
      </c>
      <c r="F44">
        <v>10</v>
      </c>
      <c r="G44">
        <v>60</v>
      </c>
      <c r="H44">
        <v>28</v>
      </c>
      <c r="I44">
        <v>206</v>
      </c>
      <c r="J44">
        <v>500</v>
      </c>
      <c r="K44">
        <v>0.41199999999999998</v>
      </c>
      <c r="L44">
        <v>0.58800000000000008</v>
      </c>
    </row>
    <row r="45" spans="1:12" x14ac:dyDescent="0.3">
      <c r="A45" t="s">
        <v>106</v>
      </c>
      <c r="B45" t="s">
        <v>107</v>
      </c>
      <c r="C45" t="s">
        <v>23</v>
      </c>
      <c r="D45">
        <v>74</v>
      </c>
      <c r="E45">
        <v>17</v>
      </c>
      <c r="F45">
        <v>45</v>
      </c>
      <c r="G45">
        <v>64</v>
      </c>
      <c r="H45">
        <v>13</v>
      </c>
      <c r="I45">
        <v>213</v>
      </c>
      <c r="J45">
        <v>500</v>
      </c>
      <c r="K45">
        <v>0.42599999999999999</v>
      </c>
      <c r="L45">
        <v>0.57400000000000007</v>
      </c>
    </row>
    <row r="46" spans="1:12" x14ac:dyDescent="0.3">
      <c r="A46" t="s">
        <v>108</v>
      </c>
      <c r="B46" t="s">
        <v>109</v>
      </c>
      <c r="C46" t="s">
        <v>26</v>
      </c>
      <c r="D46">
        <v>80</v>
      </c>
      <c r="E46">
        <v>51</v>
      </c>
      <c r="F46">
        <v>15</v>
      </c>
      <c r="G46">
        <v>97</v>
      </c>
      <c r="H46">
        <v>42</v>
      </c>
      <c r="I46">
        <v>285</v>
      </c>
      <c r="J46">
        <v>500</v>
      </c>
      <c r="K46">
        <v>0.56999999999999995</v>
      </c>
      <c r="L46">
        <v>0.43000000000000005</v>
      </c>
    </row>
    <row r="47" spans="1:12" x14ac:dyDescent="0.3">
      <c r="A47" t="s">
        <v>110</v>
      </c>
      <c r="B47" t="s">
        <v>111</v>
      </c>
      <c r="C47" t="s">
        <v>29</v>
      </c>
      <c r="D47">
        <v>49</v>
      </c>
      <c r="E47">
        <v>82</v>
      </c>
      <c r="F47">
        <v>95</v>
      </c>
      <c r="G47">
        <v>46</v>
      </c>
      <c r="H47">
        <v>78</v>
      </c>
      <c r="I47">
        <v>350</v>
      </c>
      <c r="J47">
        <v>500</v>
      </c>
      <c r="K47">
        <v>0.7</v>
      </c>
      <c r="L47">
        <v>0.30000000000000004</v>
      </c>
    </row>
    <row r="48" spans="1:12" x14ac:dyDescent="0.3">
      <c r="A48" t="s">
        <v>112</v>
      </c>
      <c r="B48" t="s">
        <v>113</v>
      </c>
      <c r="C48" t="s">
        <v>32</v>
      </c>
      <c r="D48">
        <v>17</v>
      </c>
      <c r="E48">
        <v>88</v>
      </c>
      <c r="F48">
        <v>12</v>
      </c>
      <c r="G48">
        <v>54</v>
      </c>
      <c r="H48">
        <v>21</v>
      </c>
      <c r="I48">
        <v>192</v>
      </c>
      <c r="J48">
        <v>500</v>
      </c>
      <c r="K48">
        <v>0.38400000000000001</v>
      </c>
      <c r="L48">
        <v>0.61599999999999999</v>
      </c>
    </row>
    <row r="49" spans="1:12" x14ac:dyDescent="0.3">
      <c r="A49" t="s">
        <v>114</v>
      </c>
      <c r="B49" t="s">
        <v>115</v>
      </c>
      <c r="C49" t="s">
        <v>35</v>
      </c>
      <c r="D49">
        <v>74</v>
      </c>
      <c r="E49">
        <v>16</v>
      </c>
      <c r="F49">
        <v>74</v>
      </c>
      <c r="G49">
        <v>36</v>
      </c>
      <c r="H49">
        <v>33</v>
      </c>
      <c r="I49">
        <v>233</v>
      </c>
      <c r="J49">
        <v>500</v>
      </c>
      <c r="K49">
        <v>0.46600000000000003</v>
      </c>
      <c r="L49">
        <v>0.53400000000000003</v>
      </c>
    </row>
    <row r="50" spans="1:12" x14ac:dyDescent="0.3">
      <c r="A50" t="s">
        <v>116</v>
      </c>
      <c r="B50" t="s">
        <v>117</v>
      </c>
      <c r="C50" t="s">
        <v>14</v>
      </c>
      <c r="D50">
        <v>73</v>
      </c>
      <c r="E50">
        <v>72</v>
      </c>
      <c r="F50">
        <v>38</v>
      </c>
      <c r="G50">
        <v>19</v>
      </c>
      <c r="H50">
        <v>90</v>
      </c>
      <c r="I50">
        <v>292</v>
      </c>
      <c r="J50">
        <v>500</v>
      </c>
      <c r="K50">
        <v>0.58399999999999996</v>
      </c>
      <c r="L50">
        <v>0.41600000000000004</v>
      </c>
    </row>
    <row r="51" spans="1:12" x14ac:dyDescent="0.3">
      <c r="A51" t="s">
        <v>118</v>
      </c>
      <c r="B51" t="s">
        <v>119</v>
      </c>
      <c r="C51" t="s">
        <v>17</v>
      </c>
      <c r="D51">
        <v>17</v>
      </c>
      <c r="E51">
        <v>84</v>
      </c>
      <c r="F51">
        <v>90</v>
      </c>
      <c r="G51">
        <v>77</v>
      </c>
      <c r="H51">
        <v>72</v>
      </c>
      <c r="I51">
        <v>340</v>
      </c>
      <c r="J51">
        <v>500</v>
      </c>
      <c r="K51">
        <v>0.68</v>
      </c>
      <c r="L51">
        <v>0.31999999999999995</v>
      </c>
    </row>
    <row r="52" spans="1:12" x14ac:dyDescent="0.3">
      <c r="A52" t="s">
        <v>120</v>
      </c>
      <c r="B52" t="s">
        <v>121</v>
      </c>
      <c r="C52" t="s">
        <v>20</v>
      </c>
      <c r="D52">
        <v>52</v>
      </c>
      <c r="E52">
        <v>36</v>
      </c>
      <c r="F52">
        <v>84</v>
      </c>
      <c r="G52">
        <v>41</v>
      </c>
      <c r="H52">
        <v>57</v>
      </c>
      <c r="I52">
        <v>270</v>
      </c>
      <c r="J52">
        <v>500</v>
      </c>
      <c r="K52">
        <v>0.54</v>
      </c>
      <c r="L52">
        <v>0.45999999999999996</v>
      </c>
    </row>
    <row r="53" spans="1:12" x14ac:dyDescent="0.3">
      <c r="A53" t="s">
        <v>122</v>
      </c>
      <c r="B53" t="s">
        <v>123</v>
      </c>
      <c r="C53" t="s">
        <v>23</v>
      </c>
      <c r="D53">
        <v>65</v>
      </c>
      <c r="E53">
        <v>67</v>
      </c>
      <c r="F53">
        <v>72</v>
      </c>
      <c r="G53">
        <v>22</v>
      </c>
      <c r="H53">
        <v>23</v>
      </c>
      <c r="I53">
        <v>249</v>
      </c>
      <c r="J53">
        <v>500</v>
      </c>
      <c r="K53">
        <v>0.498</v>
      </c>
      <c r="L53">
        <v>0.502</v>
      </c>
    </row>
    <row r="54" spans="1:12" x14ac:dyDescent="0.3">
      <c r="A54" t="s">
        <v>124</v>
      </c>
      <c r="B54" t="s">
        <v>125</v>
      </c>
      <c r="C54" t="s">
        <v>26</v>
      </c>
      <c r="D54">
        <v>88</v>
      </c>
      <c r="E54">
        <v>39</v>
      </c>
      <c r="F54">
        <v>25</v>
      </c>
      <c r="G54">
        <v>99</v>
      </c>
      <c r="H54">
        <v>71</v>
      </c>
      <c r="I54">
        <v>322</v>
      </c>
      <c r="J54">
        <v>500</v>
      </c>
      <c r="K54">
        <v>0.64400000000000002</v>
      </c>
      <c r="L54">
        <v>0.35599999999999998</v>
      </c>
    </row>
    <row r="55" spans="1:12" x14ac:dyDescent="0.3">
      <c r="A55" t="s">
        <v>126</v>
      </c>
      <c r="B55" t="s">
        <v>127</v>
      </c>
      <c r="C55" t="s">
        <v>29</v>
      </c>
      <c r="D55">
        <v>23</v>
      </c>
      <c r="E55">
        <v>14</v>
      </c>
      <c r="F55">
        <v>15</v>
      </c>
      <c r="G55">
        <v>58</v>
      </c>
      <c r="H55">
        <v>79</v>
      </c>
      <c r="I55">
        <v>189</v>
      </c>
      <c r="J55">
        <v>500</v>
      </c>
      <c r="K55">
        <v>0.378</v>
      </c>
      <c r="L55">
        <v>0.622</v>
      </c>
    </row>
    <row r="56" spans="1:12" x14ac:dyDescent="0.3">
      <c r="A56" t="s">
        <v>128</v>
      </c>
      <c r="B56" t="s">
        <v>129</v>
      </c>
      <c r="C56" t="s">
        <v>32</v>
      </c>
      <c r="D56">
        <v>15</v>
      </c>
      <c r="E56">
        <v>67</v>
      </c>
      <c r="F56">
        <v>48</v>
      </c>
      <c r="G56">
        <v>95</v>
      </c>
      <c r="H56">
        <v>35</v>
      </c>
      <c r="I56">
        <v>260</v>
      </c>
      <c r="J56">
        <v>500</v>
      </c>
      <c r="K56">
        <v>0.52</v>
      </c>
      <c r="L56">
        <v>0.48</v>
      </c>
    </row>
    <row r="57" spans="1:12" x14ac:dyDescent="0.3">
      <c r="A57" t="s">
        <v>130</v>
      </c>
      <c r="B57" t="s">
        <v>131</v>
      </c>
      <c r="C57" t="s">
        <v>35</v>
      </c>
      <c r="D57">
        <v>18</v>
      </c>
      <c r="E57">
        <v>35</v>
      </c>
      <c r="F57">
        <v>82</v>
      </c>
      <c r="G57">
        <v>31</v>
      </c>
      <c r="H57">
        <v>26</v>
      </c>
      <c r="I57">
        <v>192</v>
      </c>
      <c r="J57">
        <v>500</v>
      </c>
      <c r="K57">
        <v>0.38400000000000001</v>
      </c>
      <c r="L57">
        <v>0.61599999999999999</v>
      </c>
    </row>
    <row r="58" spans="1:12" x14ac:dyDescent="0.3">
      <c r="A58" t="s">
        <v>132</v>
      </c>
      <c r="B58" t="s">
        <v>133</v>
      </c>
      <c r="C58" t="s">
        <v>14</v>
      </c>
      <c r="D58">
        <v>57</v>
      </c>
      <c r="E58">
        <v>60</v>
      </c>
      <c r="F58">
        <v>42</v>
      </c>
      <c r="G58">
        <v>81</v>
      </c>
      <c r="H58">
        <v>44</v>
      </c>
      <c r="I58">
        <v>284</v>
      </c>
      <c r="J58">
        <v>500</v>
      </c>
      <c r="K58">
        <v>0.56799999999999995</v>
      </c>
      <c r="L58">
        <v>0.43200000000000005</v>
      </c>
    </row>
    <row r="59" spans="1:12" x14ac:dyDescent="0.3">
      <c r="A59" t="s">
        <v>134</v>
      </c>
      <c r="B59" t="s">
        <v>135</v>
      </c>
      <c r="C59" t="s">
        <v>17</v>
      </c>
      <c r="D59">
        <v>34</v>
      </c>
      <c r="E59">
        <v>97</v>
      </c>
      <c r="F59">
        <v>66</v>
      </c>
      <c r="G59">
        <v>45</v>
      </c>
      <c r="H59">
        <v>50</v>
      </c>
      <c r="I59">
        <v>292</v>
      </c>
      <c r="J59">
        <v>500</v>
      </c>
      <c r="K59">
        <v>0.58399999999999996</v>
      </c>
      <c r="L59">
        <v>0.41600000000000004</v>
      </c>
    </row>
    <row r="60" spans="1:12" x14ac:dyDescent="0.3">
      <c r="A60" t="s">
        <v>136</v>
      </c>
      <c r="B60" t="s">
        <v>137</v>
      </c>
      <c r="C60" t="s">
        <v>20</v>
      </c>
      <c r="D60">
        <v>83</v>
      </c>
      <c r="E60">
        <v>12</v>
      </c>
      <c r="F60">
        <v>70</v>
      </c>
      <c r="G60">
        <v>83</v>
      </c>
      <c r="H60">
        <v>52</v>
      </c>
      <c r="I60">
        <v>300</v>
      </c>
      <c r="J60">
        <v>500</v>
      </c>
      <c r="K60">
        <v>0.6</v>
      </c>
      <c r="L60">
        <v>0.4</v>
      </c>
    </row>
    <row r="61" spans="1:12" x14ac:dyDescent="0.3">
      <c r="A61" t="s">
        <v>138</v>
      </c>
      <c r="B61" t="s">
        <v>139</v>
      </c>
      <c r="C61" t="s">
        <v>23</v>
      </c>
      <c r="D61">
        <v>76</v>
      </c>
      <c r="E61">
        <v>55</v>
      </c>
      <c r="F61">
        <v>56</v>
      </c>
      <c r="G61">
        <v>16</v>
      </c>
      <c r="H61">
        <v>61</v>
      </c>
      <c r="I61">
        <v>264</v>
      </c>
      <c r="J61">
        <v>500</v>
      </c>
      <c r="K61">
        <v>0.52800000000000002</v>
      </c>
      <c r="L61">
        <v>0.47199999999999998</v>
      </c>
    </row>
    <row r="62" spans="1:12" x14ac:dyDescent="0.3">
      <c r="A62" t="s">
        <v>140</v>
      </c>
      <c r="B62" t="s">
        <v>141</v>
      </c>
      <c r="C62" t="s">
        <v>26</v>
      </c>
      <c r="D62">
        <v>40</v>
      </c>
      <c r="E62">
        <v>70</v>
      </c>
      <c r="F62">
        <v>19</v>
      </c>
      <c r="G62">
        <v>36</v>
      </c>
      <c r="H62">
        <v>52</v>
      </c>
      <c r="I62">
        <v>217</v>
      </c>
      <c r="J62">
        <v>500</v>
      </c>
      <c r="K62">
        <v>0.434</v>
      </c>
      <c r="L62">
        <v>0.56600000000000006</v>
      </c>
    </row>
    <row r="63" spans="1:12" x14ac:dyDescent="0.3">
      <c r="A63" t="s">
        <v>142</v>
      </c>
      <c r="B63" t="s">
        <v>143</v>
      </c>
      <c r="C63" t="s">
        <v>29</v>
      </c>
      <c r="D63">
        <v>44</v>
      </c>
      <c r="E63">
        <v>60</v>
      </c>
      <c r="F63">
        <v>71</v>
      </c>
      <c r="G63">
        <v>34</v>
      </c>
      <c r="H63">
        <v>37</v>
      </c>
      <c r="I63">
        <v>246</v>
      </c>
      <c r="J63">
        <v>500</v>
      </c>
      <c r="K63">
        <v>0.49199999999999999</v>
      </c>
      <c r="L63">
        <v>0.50800000000000001</v>
      </c>
    </row>
    <row r="64" spans="1:12" x14ac:dyDescent="0.3">
      <c r="A64" t="s">
        <v>144</v>
      </c>
      <c r="B64" t="s">
        <v>145</v>
      </c>
      <c r="C64" t="s">
        <v>32</v>
      </c>
      <c r="D64">
        <v>43</v>
      </c>
      <c r="E64">
        <v>78</v>
      </c>
      <c r="F64">
        <v>15</v>
      </c>
      <c r="G64">
        <v>98</v>
      </c>
      <c r="H64">
        <v>33</v>
      </c>
      <c r="I64">
        <v>267</v>
      </c>
      <c r="J64">
        <v>500</v>
      </c>
      <c r="K64">
        <v>0.53400000000000003</v>
      </c>
      <c r="L64">
        <v>0.46599999999999997</v>
      </c>
    </row>
    <row r="65" spans="1:12" x14ac:dyDescent="0.3">
      <c r="A65" t="s">
        <v>146</v>
      </c>
      <c r="B65" t="s">
        <v>147</v>
      </c>
      <c r="C65" t="s">
        <v>35</v>
      </c>
      <c r="D65">
        <v>75</v>
      </c>
      <c r="E65">
        <v>75</v>
      </c>
      <c r="F65">
        <v>89</v>
      </c>
      <c r="G65">
        <v>97</v>
      </c>
      <c r="H65">
        <v>49</v>
      </c>
      <c r="I65">
        <v>385</v>
      </c>
      <c r="J65">
        <v>500</v>
      </c>
      <c r="K65">
        <v>0.77</v>
      </c>
      <c r="L65">
        <v>0.22999999999999998</v>
      </c>
    </row>
    <row r="66" spans="1:12" x14ac:dyDescent="0.3">
      <c r="A66" t="s">
        <v>148</v>
      </c>
      <c r="B66" t="s">
        <v>149</v>
      </c>
      <c r="C66" t="s">
        <v>14</v>
      </c>
      <c r="D66">
        <v>74</v>
      </c>
      <c r="E66">
        <v>51</v>
      </c>
      <c r="F66">
        <v>97</v>
      </c>
      <c r="G66">
        <v>73</v>
      </c>
      <c r="H66">
        <v>33</v>
      </c>
      <c r="I66">
        <v>328</v>
      </c>
      <c r="J66">
        <v>500</v>
      </c>
      <c r="K66">
        <v>0.65600000000000003</v>
      </c>
      <c r="L66">
        <v>0.34399999999999997</v>
      </c>
    </row>
    <row r="67" spans="1:12" x14ac:dyDescent="0.3">
      <c r="A67" t="s">
        <v>150</v>
      </c>
      <c r="B67" t="s">
        <v>151</v>
      </c>
      <c r="C67" t="s">
        <v>17</v>
      </c>
      <c r="D67">
        <v>44</v>
      </c>
      <c r="E67">
        <v>36</v>
      </c>
      <c r="F67">
        <v>11</v>
      </c>
      <c r="G67">
        <v>45</v>
      </c>
      <c r="H67">
        <v>30</v>
      </c>
      <c r="I67">
        <v>166</v>
      </c>
      <c r="J67">
        <v>500</v>
      </c>
      <c r="K67">
        <v>0.33200000000000002</v>
      </c>
      <c r="L67">
        <v>0.66799999999999993</v>
      </c>
    </row>
    <row r="68" spans="1:12" x14ac:dyDescent="0.3">
      <c r="A68" t="s">
        <v>152</v>
      </c>
      <c r="B68" t="s">
        <v>153</v>
      </c>
      <c r="C68" t="s">
        <v>20</v>
      </c>
      <c r="D68">
        <v>87</v>
      </c>
      <c r="E68">
        <v>79</v>
      </c>
      <c r="F68">
        <v>46</v>
      </c>
      <c r="G68">
        <v>65</v>
      </c>
      <c r="H68">
        <v>65</v>
      </c>
      <c r="I68">
        <v>342</v>
      </c>
      <c r="J68">
        <v>500</v>
      </c>
      <c r="K68">
        <v>0.68400000000000005</v>
      </c>
      <c r="L68">
        <v>0.31599999999999995</v>
      </c>
    </row>
    <row r="69" spans="1:12" x14ac:dyDescent="0.3">
      <c r="A69" t="s">
        <v>154</v>
      </c>
      <c r="B69" t="s">
        <v>155</v>
      </c>
      <c r="C69" t="s">
        <v>23</v>
      </c>
      <c r="D69">
        <v>70</v>
      </c>
      <c r="E69">
        <v>52</v>
      </c>
      <c r="F69">
        <v>80</v>
      </c>
      <c r="G69">
        <v>43</v>
      </c>
      <c r="H69">
        <v>48</v>
      </c>
      <c r="I69">
        <v>293</v>
      </c>
      <c r="J69">
        <v>500</v>
      </c>
      <c r="K69">
        <v>0.58599999999999997</v>
      </c>
      <c r="L69">
        <v>0.41400000000000003</v>
      </c>
    </row>
    <row r="70" spans="1:12" x14ac:dyDescent="0.3">
      <c r="A70" t="s">
        <v>156</v>
      </c>
      <c r="B70" t="s">
        <v>157</v>
      </c>
      <c r="C70" t="s">
        <v>26</v>
      </c>
      <c r="D70">
        <v>45</v>
      </c>
      <c r="E70">
        <v>26</v>
      </c>
      <c r="F70">
        <v>27</v>
      </c>
      <c r="G70">
        <v>14</v>
      </c>
      <c r="H70">
        <v>59</v>
      </c>
      <c r="I70">
        <v>171</v>
      </c>
      <c r="J70">
        <v>500</v>
      </c>
      <c r="K70">
        <v>0.34200000000000003</v>
      </c>
      <c r="L70">
        <v>0.65799999999999992</v>
      </c>
    </row>
    <row r="71" spans="1:12" x14ac:dyDescent="0.3">
      <c r="A71" t="s">
        <v>158</v>
      </c>
      <c r="B71" t="s">
        <v>159</v>
      </c>
      <c r="C71" t="s">
        <v>29</v>
      </c>
      <c r="D71">
        <v>51</v>
      </c>
      <c r="E71">
        <v>26</v>
      </c>
      <c r="F71">
        <v>58</v>
      </c>
      <c r="G71">
        <v>83</v>
      </c>
      <c r="H71">
        <v>11</v>
      </c>
      <c r="I71">
        <v>229</v>
      </c>
      <c r="J71">
        <v>500</v>
      </c>
      <c r="K71">
        <v>0.45800000000000002</v>
      </c>
      <c r="L71">
        <v>0.54200000000000004</v>
      </c>
    </row>
    <row r="72" spans="1:12" x14ac:dyDescent="0.3">
      <c r="A72" t="s">
        <v>160</v>
      </c>
      <c r="B72" t="s">
        <v>161</v>
      </c>
      <c r="C72" t="s">
        <v>32</v>
      </c>
      <c r="D72">
        <v>68</v>
      </c>
      <c r="E72">
        <v>36</v>
      </c>
      <c r="F72">
        <v>15</v>
      </c>
      <c r="G72">
        <v>20</v>
      </c>
      <c r="H72">
        <v>17</v>
      </c>
      <c r="I72">
        <v>156</v>
      </c>
      <c r="J72">
        <v>500</v>
      </c>
      <c r="K72">
        <v>0.312</v>
      </c>
      <c r="L72">
        <v>0.68799999999999994</v>
      </c>
    </row>
    <row r="73" spans="1:12" x14ac:dyDescent="0.3">
      <c r="A73" t="s">
        <v>162</v>
      </c>
      <c r="B73" t="s">
        <v>163</v>
      </c>
      <c r="C73" t="s">
        <v>35</v>
      </c>
      <c r="D73">
        <v>32</v>
      </c>
      <c r="E73">
        <v>74</v>
      </c>
      <c r="F73">
        <v>18</v>
      </c>
      <c r="G73">
        <v>33</v>
      </c>
      <c r="H73">
        <v>51</v>
      </c>
      <c r="I73">
        <v>208</v>
      </c>
      <c r="J73">
        <v>500</v>
      </c>
      <c r="K73">
        <v>0.41599999999999998</v>
      </c>
      <c r="L73">
        <v>0.58400000000000007</v>
      </c>
    </row>
    <row r="74" spans="1:12" x14ac:dyDescent="0.3">
      <c r="A74" t="s">
        <v>164</v>
      </c>
      <c r="B74" t="s">
        <v>165</v>
      </c>
      <c r="C74" t="s">
        <v>14</v>
      </c>
      <c r="D74">
        <v>41</v>
      </c>
      <c r="E74">
        <v>11</v>
      </c>
      <c r="F74">
        <v>46</v>
      </c>
      <c r="G74">
        <v>35</v>
      </c>
      <c r="H74">
        <v>10</v>
      </c>
      <c r="I74">
        <v>143</v>
      </c>
      <c r="J74">
        <v>500</v>
      </c>
      <c r="K74">
        <v>0.28599999999999998</v>
      </c>
      <c r="L74">
        <v>0.71399999999999997</v>
      </c>
    </row>
    <row r="75" spans="1:12" x14ac:dyDescent="0.3">
      <c r="A75" t="s">
        <v>166</v>
      </c>
      <c r="B75" t="s">
        <v>167</v>
      </c>
      <c r="C75" t="s">
        <v>17</v>
      </c>
      <c r="D75">
        <v>41</v>
      </c>
      <c r="E75">
        <v>17</v>
      </c>
      <c r="F75">
        <v>82</v>
      </c>
      <c r="G75">
        <v>75</v>
      </c>
      <c r="H75">
        <v>39</v>
      </c>
      <c r="I75">
        <v>254</v>
      </c>
      <c r="J75">
        <v>500</v>
      </c>
      <c r="K75">
        <v>0.50800000000000001</v>
      </c>
      <c r="L75">
        <v>0.49199999999999999</v>
      </c>
    </row>
    <row r="76" spans="1:12" x14ac:dyDescent="0.3">
      <c r="A76" t="s">
        <v>168</v>
      </c>
      <c r="B76" t="s">
        <v>169</v>
      </c>
      <c r="C76" t="s">
        <v>20</v>
      </c>
      <c r="D76">
        <v>12</v>
      </c>
      <c r="E76">
        <v>97</v>
      </c>
      <c r="F76">
        <v>45</v>
      </c>
      <c r="G76">
        <v>29</v>
      </c>
      <c r="H76">
        <v>41</v>
      </c>
      <c r="I76">
        <v>224</v>
      </c>
      <c r="J76">
        <v>500</v>
      </c>
      <c r="K76">
        <v>0.44800000000000001</v>
      </c>
      <c r="L76">
        <v>0.55200000000000005</v>
      </c>
    </row>
    <row r="77" spans="1:12" x14ac:dyDescent="0.3">
      <c r="A77" t="s">
        <v>170</v>
      </c>
      <c r="B77" t="s">
        <v>171</v>
      </c>
      <c r="C77" t="s">
        <v>23</v>
      </c>
      <c r="D77">
        <v>19</v>
      </c>
      <c r="E77">
        <v>72</v>
      </c>
      <c r="F77">
        <v>87</v>
      </c>
      <c r="G77">
        <v>82</v>
      </c>
      <c r="H77">
        <v>27</v>
      </c>
      <c r="I77">
        <v>287</v>
      </c>
      <c r="J77">
        <v>500</v>
      </c>
      <c r="K77">
        <v>0.57399999999999995</v>
      </c>
      <c r="L77">
        <v>0.42600000000000005</v>
      </c>
    </row>
    <row r="78" spans="1:12" x14ac:dyDescent="0.3">
      <c r="A78" t="s">
        <v>172</v>
      </c>
      <c r="B78" t="s">
        <v>173</v>
      </c>
      <c r="C78" t="s">
        <v>26</v>
      </c>
      <c r="D78">
        <v>98</v>
      </c>
      <c r="E78">
        <v>15</v>
      </c>
      <c r="F78">
        <v>72</v>
      </c>
      <c r="G78">
        <v>67</v>
      </c>
      <c r="H78">
        <v>34</v>
      </c>
      <c r="I78">
        <v>286</v>
      </c>
      <c r="J78">
        <v>500</v>
      </c>
      <c r="K78">
        <v>0.57199999999999995</v>
      </c>
      <c r="L78">
        <v>0.42800000000000005</v>
      </c>
    </row>
    <row r="79" spans="1:12" x14ac:dyDescent="0.3">
      <c r="A79" t="s">
        <v>174</v>
      </c>
      <c r="B79" t="s">
        <v>175</v>
      </c>
      <c r="C79" t="s">
        <v>29</v>
      </c>
      <c r="D79">
        <v>50</v>
      </c>
      <c r="E79">
        <v>44</v>
      </c>
      <c r="F79">
        <v>46</v>
      </c>
      <c r="G79">
        <v>13</v>
      </c>
      <c r="H79">
        <v>92</v>
      </c>
      <c r="I79">
        <v>245</v>
      </c>
      <c r="J79">
        <v>500</v>
      </c>
      <c r="K79">
        <v>0.49</v>
      </c>
      <c r="L79">
        <v>0.51</v>
      </c>
    </row>
    <row r="80" spans="1:12" x14ac:dyDescent="0.3">
      <c r="A80" t="s">
        <v>176</v>
      </c>
      <c r="B80" t="s">
        <v>177</v>
      </c>
      <c r="C80" t="s">
        <v>32</v>
      </c>
      <c r="D80">
        <v>40</v>
      </c>
      <c r="E80">
        <v>82</v>
      </c>
      <c r="F80">
        <v>72</v>
      </c>
      <c r="G80">
        <v>42</v>
      </c>
      <c r="H80">
        <v>45</v>
      </c>
      <c r="I80">
        <v>281</v>
      </c>
      <c r="J80">
        <v>500</v>
      </c>
      <c r="K80">
        <v>0.56200000000000006</v>
      </c>
      <c r="L80">
        <v>0.43799999999999994</v>
      </c>
    </row>
    <row r="81" spans="1:12" x14ac:dyDescent="0.3">
      <c r="A81" t="s">
        <v>178</v>
      </c>
      <c r="B81" t="s">
        <v>179</v>
      </c>
      <c r="C81" t="s">
        <v>35</v>
      </c>
      <c r="D81">
        <v>23</v>
      </c>
      <c r="E81">
        <v>83</v>
      </c>
      <c r="F81">
        <v>63</v>
      </c>
      <c r="G81">
        <v>65</v>
      </c>
      <c r="H81">
        <v>83</v>
      </c>
      <c r="I81">
        <v>317</v>
      </c>
      <c r="J81">
        <v>500</v>
      </c>
      <c r="K81">
        <v>0.63400000000000001</v>
      </c>
      <c r="L81">
        <v>0.36599999999999999</v>
      </c>
    </row>
    <row r="82" spans="1:12" x14ac:dyDescent="0.3">
      <c r="A82" t="s">
        <v>180</v>
      </c>
      <c r="B82" t="s">
        <v>181</v>
      </c>
      <c r="C82" t="s">
        <v>14</v>
      </c>
      <c r="D82">
        <v>71</v>
      </c>
      <c r="E82">
        <v>94</v>
      </c>
      <c r="F82">
        <v>45</v>
      </c>
      <c r="G82">
        <v>95</v>
      </c>
      <c r="H82">
        <v>46</v>
      </c>
      <c r="I82">
        <v>351</v>
      </c>
      <c r="J82">
        <v>500</v>
      </c>
      <c r="K82">
        <v>0.70199999999999996</v>
      </c>
      <c r="L82">
        <v>0.29800000000000004</v>
      </c>
    </row>
    <row r="83" spans="1:12" x14ac:dyDescent="0.3">
      <c r="A83" t="s">
        <v>182</v>
      </c>
      <c r="B83" t="s">
        <v>183</v>
      </c>
      <c r="C83" t="s">
        <v>17</v>
      </c>
      <c r="D83">
        <v>48</v>
      </c>
      <c r="E83">
        <v>49</v>
      </c>
      <c r="F83">
        <v>68</v>
      </c>
      <c r="G83">
        <v>23</v>
      </c>
      <c r="H83">
        <v>21</v>
      </c>
      <c r="I83">
        <v>209</v>
      </c>
      <c r="J83">
        <v>500</v>
      </c>
      <c r="K83">
        <v>0.41799999999999998</v>
      </c>
      <c r="L83">
        <v>0.58200000000000007</v>
      </c>
    </row>
    <row r="84" spans="1:12" x14ac:dyDescent="0.3">
      <c r="A84" t="s">
        <v>184</v>
      </c>
      <c r="B84" t="s">
        <v>185</v>
      </c>
      <c r="C84" t="s">
        <v>20</v>
      </c>
      <c r="D84">
        <v>77</v>
      </c>
      <c r="E84">
        <v>83</v>
      </c>
      <c r="F84">
        <v>64</v>
      </c>
      <c r="G84">
        <v>53</v>
      </c>
      <c r="H84">
        <v>13</v>
      </c>
      <c r="I84">
        <v>290</v>
      </c>
      <c r="J84">
        <v>500</v>
      </c>
      <c r="K84">
        <v>0.57999999999999996</v>
      </c>
      <c r="L84">
        <v>0.42000000000000004</v>
      </c>
    </row>
    <row r="85" spans="1:12" x14ac:dyDescent="0.3">
      <c r="A85" t="s">
        <v>186</v>
      </c>
      <c r="B85" t="s">
        <v>187</v>
      </c>
      <c r="C85" t="s">
        <v>23</v>
      </c>
      <c r="D85">
        <v>81</v>
      </c>
      <c r="E85">
        <v>63</v>
      </c>
      <c r="F85">
        <v>88</v>
      </c>
      <c r="G85">
        <v>89</v>
      </c>
      <c r="H85">
        <v>63</v>
      </c>
      <c r="I85">
        <v>384</v>
      </c>
      <c r="J85">
        <v>500</v>
      </c>
      <c r="K85">
        <v>0.76800000000000002</v>
      </c>
      <c r="L85">
        <v>0.23199999999999998</v>
      </c>
    </row>
    <row r="86" spans="1:12" x14ac:dyDescent="0.3">
      <c r="A86" t="s">
        <v>188</v>
      </c>
      <c r="B86" t="s">
        <v>189</v>
      </c>
      <c r="C86" t="s">
        <v>26</v>
      </c>
      <c r="D86">
        <v>39</v>
      </c>
      <c r="E86">
        <v>87</v>
      </c>
      <c r="F86">
        <v>62</v>
      </c>
      <c r="G86">
        <v>80</v>
      </c>
      <c r="H86">
        <v>81</v>
      </c>
      <c r="I86">
        <v>349</v>
      </c>
      <c r="J86">
        <v>500</v>
      </c>
      <c r="K86">
        <v>0.69799999999999995</v>
      </c>
      <c r="L86">
        <v>0.30200000000000005</v>
      </c>
    </row>
    <row r="87" spans="1:12" x14ac:dyDescent="0.3">
      <c r="A87" t="s">
        <v>190</v>
      </c>
      <c r="B87" t="s">
        <v>191</v>
      </c>
      <c r="C87" t="s">
        <v>29</v>
      </c>
      <c r="D87">
        <v>46</v>
      </c>
      <c r="E87">
        <v>19</v>
      </c>
      <c r="F87">
        <v>59</v>
      </c>
      <c r="G87">
        <v>58</v>
      </c>
      <c r="H87">
        <v>33</v>
      </c>
      <c r="I87">
        <v>215</v>
      </c>
      <c r="J87">
        <v>500</v>
      </c>
      <c r="K87">
        <v>0.43</v>
      </c>
      <c r="L87">
        <v>0.57000000000000006</v>
      </c>
    </row>
    <row r="88" spans="1:12" x14ac:dyDescent="0.3">
      <c r="A88" t="s">
        <v>192</v>
      </c>
      <c r="B88" t="s">
        <v>193</v>
      </c>
      <c r="C88" t="s">
        <v>32</v>
      </c>
      <c r="D88">
        <v>34</v>
      </c>
      <c r="E88">
        <v>15</v>
      </c>
      <c r="F88">
        <v>43</v>
      </c>
      <c r="G88">
        <v>63</v>
      </c>
      <c r="H88">
        <v>54</v>
      </c>
      <c r="I88">
        <v>209</v>
      </c>
      <c r="J88">
        <v>500</v>
      </c>
      <c r="K88">
        <v>0.41799999999999998</v>
      </c>
      <c r="L88">
        <v>0.58200000000000007</v>
      </c>
    </row>
    <row r="89" spans="1:12" x14ac:dyDescent="0.3">
      <c r="A89" t="s">
        <v>194</v>
      </c>
      <c r="B89" t="s">
        <v>195</v>
      </c>
      <c r="C89" t="s">
        <v>35</v>
      </c>
      <c r="D89">
        <v>32</v>
      </c>
      <c r="E89">
        <v>79</v>
      </c>
      <c r="F89">
        <v>65</v>
      </c>
      <c r="G89">
        <v>57</v>
      </c>
      <c r="H89">
        <v>73</v>
      </c>
      <c r="I89">
        <v>306</v>
      </c>
      <c r="J89">
        <v>500</v>
      </c>
      <c r="K89">
        <v>0.61199999999999999</v>
      </c>
      <c r="L89">
        <v>0.38800000000000001</v>
      </c>
    </row>
    <row r="90" spans="1:12" x14ac:dyDescent="0.3">
      <c r="A90" t="s">
        <v>196</v>
      </c>
      <c r="B90" t="s">
        <v>197</v>
      </c>
      <c r="C90" t="s">
        <v>14</v>
      </c>
      <c r="D90">
        <v>72</v>
      </c>
      <c r="E90">
        <v>82</v>
      </c>
      <c r="F90">
        <v>58</v>
      </c>
      <c r="G90">
        <v>36</v>
      </c>
      <c r="H90">
        <v>33</v>
      </c>
      <c r="I90">
        <v>281</v>
      </c>
      <c r="J90">
        <v>500</v>
      </c>
      <c r="K90">
        <v>0.56200000000000006</v>
      </c>
      <c r="L90">
        <v>0.43799999999999994</v>
      </c>
    </row>
    <row r="91" spans="1:12" x14ac:dyDescent="0.3">
      <c r="A91" t="s">
        <v>198</v>
      </c>
      <c r="B91" t="s">
        <v>199</v>
      </c>
      <c r="C91" t="s">
        <v>17</v>
      </c>
      <c r="D91">
        <v>11</v>
      </c>
      <c r="E91">
        <v>69</v>
      </c>
      <c r="F91">
        <v>49</v>
      </c>
      <c r="G91">
        <v>90</v>
      </c>
      <c r="H91">
        <v>99</v>
      </c>
      <c r="I91">
        <v>318</v>
      </c>
      <c r="J91">
        <v>500</v>
      </c>
      <c r="K91">
        <v>0.63600000000000001</v>
      </c>
      <c r="L91">
        <v>0.36399999999999999</v>
      </c>
    </row>
    <row r="92" spans="1:12" x14ac:dyDescent="0.3">
      <c r="A92" t="s">
        <v>200</v>
      </c>
      <c r="B92" t="s">
        <v>201</v>
      </c>
      <c r="C92" t="s">
        <v>20</v>
      </c>
      <c r="D92">
        <v>80</v>
      </c>
      <c r="E92">
        <v>73</v>
      </c>
      <c r="F92">
        <v>21</v>
      </c>
      <c r="G92">
        <v>72</v>
      </c>
      <c r="H92">
        <v>54</v>
      </c>
      <c r="I92">
        <v>300</v>
      </c>
      <c r="J92">
        <v>500</v>
      </c>
      <c r="K92">
        <v>0.6</v>
      </c>
      <c r="L92">
        <v>0.4</v>
      </c>
    </row>
    <row r="93" spans="1:12" x14ac:dyDescent="0.3">
      <c r="A93" t="s">
        <v>202</v>
      </c>
      <c r="B93" t="s">
        <v>203</v>
      </c>
      <c r="C93" t="s">
        <v>23</v>
      </c>
      <c r="D93">
        <v>93</v>
      </c>
      <c r="E93">
        <v>42</v>
      </c>
      <c r="F93">
        <v>38</v>
      </c>
      <c r="G93">
        <v>98</v>
      </c>
      <c r="H93">
        <v>10</v>
      </c>
      <c r="I93">
        <v>281</v>
      </c>
      <c r="J93">
        <v>500</v>
      </c>
      <c r="K93">
        <v>0.56200000000000006</v>
      </c>
      <c r="L93">
        <v>0.43799999999999994</v>
      </c>
    </row>
    <row r="94" spans="1:12" x14ac:dyDescent="0.3">
      <c r="A94" t="s">
        <v>204</v>
      </c>
      <c r="B94" t="s">
        <v>205</v>
      </c>
      <c r="C94" t="s">
        <v>26</v>
      </c>
      <c r="D94">
        <v>18</v>
      </c>
      <c r="E94">
        <v>80</v>
      </c>
      <c r="F94">
        <v>20</v>
      </c>
      <c r="G94">
        <v>32</v>
      </c>
      <c r="H94">
        <v>95</v>
      </c>
      <c r="I94">
        <v>245</v>
      </c>
      <c r="J94">
        <v>500</v>
      </c>
      <c r="K94">
        <v>0.49</v>
      </c>
      <c r="L94">
        <v>0.51</v>
      </c>
    </row>
    <row r="95" spans="1:12" x14ac:dyDescent="0.3">
      <c r="A95" t="s">
        <v>206</v>
      </c>
      <c r="B95" t="s">
        <v>207</v>
      </c>
      <c r="C95" t="s">
        <v>29</v>
      </c>
      <c r="D95">
        <v>96</v>
      </c>
      <c r="E95">
        <v>14</v>
      </c>
      <c r="F95">
        <v>20</v>
      </c>
      <c r="G95">
        <v>31</v>
      </c>
      <c r="H95">
        <v>44</v>
      </c>
      <c r="I95">
        <v>205</v>
      </c>
      <c r="J95">
        <v>500</v>
      </c>
      <c r="K95">
        <v>0.41</v>
      </c>
      <c r="L95">
        <v>0.59000000000000008</v>
      </c>
    </row>
    <row r="96" spans="1:12" x14ac:dyDescent="0.3">
      <c r="A96" t="s">
        <v>208</v>
      </c>
      <c r="B96" t="s">
        <v>209</v>
      </c>
      <c r="C96" t="s">
        <v>32</v>
      </c>
      <c r="D96">
        <v>37</v>
      </c>
      <c r="E96">
        <v>60</v>
      </c>
      <c r="F96">
        <v>50</v>
      </c>
      <c r="G96">
        <v>68</v>
      </c>
      <c r="H96">
        <v>19</v>
      </c>
      <c r="I96">
        <v>234</v>
      </c>
      <c r="J96">
        <v>500</v>
      </c>
      <c r="K96">
        <v>0.46800000000000003</v>
      </c>
      <c r="L96">
        <v>0.53200000000000003</v>
      </c>
    </row>
    <row r="97" spans="1:12" x14ac:dyDescent="0.3">
      <c r="A97" t="s">
        <v>210</v>
      </c>
      <c r="B97" t="s">
        <v>211</v>
      </c>
      <c r="C97" t="s">
        <v>35</v>
      </c>
      <c r="D97">
        <v>35</v>
      </c>
      <c r="E97">
        <v>79</v>
      </c>
      <c r="F97">
        <v>17</v>
      </c>
      <c r="G97">
        <v>85</v>
      </c>
      <c r="H97">
        <v>16</v>
      </c>
      <c r="I97">
        <v>232</v>
      </c>
      <c r="J97">
        <v>500</v>
      </c>
      <c r="K97">
        <v>0.46400000000000002</v>
      </c>
      <c r="L97">
        <v>0.53600000000000003</v>
      </c>
    </row>
    <row r="98" spans="1:12" x14ac:dyDescent="0.3">
      <c r="A98" t="s">
        <v>212</v>
      </c>
      <c r="B98" t="s">
        <v>213</v>
      </c>
      <c r="C98" t="s">
        <v>14</v>
      </c>
      <c r="D98">
        <v>31</v>
      </c>
      <c r="E98">
        <v>48</v>
      </c>
      <c r="F98">
        <v>56</v>
      </c>
      <c r="G98">
        <v>85</v>
      </c>
      <c r="H98">
        <v>25</v>
      </c>
      <c r="I98">
        <v>245</v>
      </c>
      <c r="J98">
        <v>500</v>
      </c>
      <c r="K98">
        <v>0.49</v>
      </c>
      <c r="L98">
        <v>0.51</v>
      </c>
    </row>
    <row r="99" spans="1:12" x14ac:dyDescent="0.3">
      <c r="A99" t="s">
        <v>214</v>
      </c>
      <c r="B99" t="s">
        <v>215</v>
      </c>
      <c r="C99" t="s">
        <v>17</v>
      </c>
      <c r="D99">
        <v>23</v>
      </c>
      <c r="E99">
        <v>83</v>
      </c>
      <c r="F99">
        <v>86</v>
      </c>
      <c r="G99">
        <v>69</v>
      </c>
      <c r="H99">
        <v>25</v>
      </c>
      <c r="I99">
        <v>286</v>
      </c>
      <c r="J99">
        <v>500</v>
      </c>
      <c r="K99">
        <v>0.57199999999999995</v>
      </c>
      <c r="L99">
        <v>0.42800000000000005</v>
      </c>
    </row>
    <row r="100" spans="1:12" x14ac:dyDescent="0.3">
      <c r="A100" t="s">
        <v>216</v>
      </c>
      <c r="B100" t="s">
        <v>217</v>
      </c>
      <c r="C100" t="s">
        <v>20</v>
      </c>
      <c r="D100">
        <v>17</v>
      </c>
      <c r="E100">
        <v>97</v>
      </c>
      <c r="F100">
        <v>81</v>
      </c>
      <c r="G100">
        <v>32</v>
      </c>
      <c r="H100">
        <v>76</v>
      </c>
      <c r="I100">
        <v>303</v>
      </c>
      <c r="J100">
        <v>500</v>
      </c>
      <c r="K100">
        <v>0.60599999999999998</v>
      </c>
      <c r="L100">
        <v>0.39400000000000002</v>
      </c>
    </row>
    <row r="101" spans="1:12" x14ac:dyDescent="0.3">
      <c r="A101" t="s">
        <v>218</v>
      </c>
      <c r="B101" t="s">
        <v>219</v>
      </c>
      <c r="C101" t="s">
        <v>23</v>
      </c>
      <c r="D101">
        <v>92</v>
      </c>
      <c r="E101">
        <v>45</v>
      </c>
      <c r="F101">
        <v>43</v>
      </c>
      <c r="G101">
        <v>91</v>
      </c>
      <c r="H101">
        <v>47</v>
      </c>
      <c r="I101">
        <v>318</v>
      </c>
      <c r="J101">
        <v>500</v>
      </c>
      <c r="K101">
        <v>0.63600000000000001</v>
      </c>
      <c r="L101">
        <v>0.36399999999999999</v>
      </c>
    </row>
    <row r="102" spans="1:12" x14ac:dyDescent="0.3">
      <c r="A102" t="s">
        <v>220</v>
      </c>
      <c r="B102" t="s">
        <v>221</v>
      </c>
      <c r="C102" t="s">
        <v>26</v>
      </c>
      <c r="D102">
        <v>49</v>
      </c>
      <c r="E102">
        <v>77</v>
      </c>
      <c r="F102">
        <v>18</v>
      </c>
      <c r="G102">
        <v>69</v>
      </c>
      <c r="H102">
        <v>55</v>
      </c>
      <c r="I102">
        <v>268</v>
      </c>
      <c r="J102">
        <v>500</v>
      </c>
      <c r="K102">
        <v>0.53600000000000003</v>
      </c>
      <c r="L102">
        <v>0.46399999999999997</v>
      </c>
    </row>
    <row r="103" spans="1:12" x14ac:dyDescent="0.3">
      <c r="A103" t="s">
        <v>222</v>
      </c>
      <c r="B103" t="s">
        <v>223</v>
      </c>
      <c r="C103" t="s">
        <v>29</v>
      </c>
      <c r="D103">
        <v>81</v>
      </c>
      <c r="E103">
        <v>88</v>
      </c>
      <c r="F103">
        <v>19</v>
      </c>
      <c r="G103">
        <v>95</v>
      </c>
      <c r="H103">
        <v>39</v>
      </c>
      <c r="I103">
        <v>322</v>
      </c>
      <c r="J103">
        <v>500</v>
      </c>
      <c r="K103">
        <v>0.64400000000000002</v>
      </c>
      <c r="L103">
        <v>0.35599999999999998</v>
      </c>
    </row>
    <row r="104" spans="1:12" x14ac:dyDescent="0.3">
      <c r="A104" t="s">
        <v>224</v>
      </c>
      <c r="B104" t="s">
        <v>225</v>
      </c>
      <c r="C104" t="s">
        <v>32</v>
      </c>
      <c r="D104">
        <v>55</v>
      </c>
      <c r="E104">
        <v>14</v>
      </c>
      <c r="F104">
        <v>41</v>
      </c>
      <c r="G104">
        <v>40</v>
      </c>
      <c r="H104">
        <v>70</v>
      </c>
      <c r="I104">
        <v>220</v>
      </c>
      <c r="J104">
        <v>500</v>
      </c>
      <c r="K104">
        <v>0.44</v>
      </c>
      <c r="L104">
        <v>0.56000000000000005</v>
      </c>
    </row>
    <row r="105" spans="1:12" x14ac:dyDescent="0.3">
      <c r="A105" t="s">
        <v>226</v>
      </c>
      <c r="B105" t="s">
        <v>227</v>
      </c>
      <c r="C105" t="s">
        <v>35</v>
      </c>
      <c r="D105">
        <v>86</v>
      </c>
      <c r="E105">
        <v>13</v>
      </c>
      <c r="F105">
        <v>99</v>
      </c>
      <c r="G105">
        <v>25</v>
      </c>
      <c r="H105">
        <v>83</v>
      </c>
      <c r="I105">
        <v>306</v>
      </c>
      <c r="J105">
        <v>500</v>
      </c>
      <c r="K105">
        <v>0.61199999999999999</v>
      </c>
      <c r="L105">
        <v>0.38800000000000001</v>
      </c>
    </row>
    <row r="106" spans="1:12" x14ac:dyDescent="0.3">
      <c r="A106" t="s">
        <v>228</v>
      </c>
      <c r="B106" t="s">
        <v>229</v>
      </c>
      <c r="C106" t="s">
        <v>14</v>
      </c>
      <c r="D106">
        <v>88</v>
      </c>
      <c r="E106">
        <v>96</v>
      </c>
      <c r="F106">
        <v>16</v>
      </c>
      <c r="G106">
        <v>65</v>
      </c>
      <c r="H106">
        <v>86</v>
      </c>
      <c r="I106">
        <v>351</v>
      </c>
      <c r="J106">
        <v>500</v>
      </c>
      <c r="K106">
        <v>0.70199999999999996</v>
      </c>
      <c r="L106">
        <v>0.29800000000000004</v>
      </c>
    </row>
    <row r="107" spans="1:12" x14ac:dyDescent="0.3">
      <c r="A107" t="s">
        <v>230</v>
      </c>
      <c r="B107" t="s">
        <v>231</v>
      </c>
      <c r="C107" t="s">
        <v>17</v>
      </c>
      <c r="D107">
        <v>61</v>
      </c>
      <c r="E107">
        <v>73</v>
      </c>
      <c r="F107">
        <v>34</v>
      </c>
      <c r="G107">
        <v>30</v>
      </c>
      <c r="H107">
        <v>30</v>
      </c>
      <c r="I107">
        <v>228</v>
      </c>
      <c r="J107">
        <v>500</v>
      </c>
      <c r="K107">
        <v>0.45600000000000002</v>
      </c>
      <c r="L107">
        <v>0.54400000000000004</v>
      </c>
    </row>
    <row r="108" spans="1:12" x14ac:dyDescent="0.3">
      <c r="A108" t="s">
        <v>232</v>
      </c>
      <c r="B108" t="s">
        <v>233</v>
      </c>
      <c r="C108" t="s">
        <v>20</v>
      </c>
      <c r="D108">
        <v>61</v>
      </c>
      <c r="E108">
        <v>91</v>
      </c>
      <c r="F108">
        <v>53</v>
      </c>
      <c r="G108">
        <v>78</v>
      </c>
      <c r="H108">
        <v>91</v>
      </c>
      <c r="I108">
        <v>374</v>
      </c>
      <c r="J108">
        <v>500</v>
      </c>
      <c r="K108">
        <v>0.748</v>
      </c>
      <c r="L108">
        <v>0.252</v>
      </c>
    </row>
    <row r="109" spans="1:12" x14ac:dyDescent="0.3">
      <c r="A109" t="s">
        <v>234</v>
      </c>
      <c r="B109" t="s">
        <v>235</v>
      </c>
      <c r="C109" t="s">
        <v>23</v>
      </c>
      <c r="D109">
        <v>75</v>
      </c>
      <c r="E109">
        <v>53</v>
      </c>
      <c r="F109">
        <v>27</v>
      </c>
      <c r="G109">
        <v>26</v>
      </c>
      <c r="H109">
        <v>30</v>
      </c>
      <c r="I109">
        <v>211</v>
      </c>
      <c r="J109">
        <v>500</v>
      </c>
      <c r="K109">
        <v>0.42199999999999999</v>
      </c>
      <c r="L109">
        <v>0.57800000000000007</v>
      </c>
    </row>
    <row r="110" spans="1:12" x14ac:dyDescent="0.3">
      <c r="A110" t="s">
        <v>236</v>
      </c>
      <c r="B110" t="s">
        <v>237</v>
      </c>
      <c r="C110" t="s">
        <v>26</v>
      </c>
      <c r="D110">
        <v>24</v>
      </c>
      <c r="E110">
        <v>31</v>
      </c>
      <c r="F110">
        <v>41</v>
      </c>
      <c r="G110">
        <v>57</v>
      </c>
      <c r="H110">
        <v>83</v>
      </c>
      <c r="I110">
        <v>236</v>
      </c>
      <c r="J110">
        <v>500</v>
      </c>
      <c r="K110">
        <v>0.47199999999999998</v>
      </c>
      <c r="L110">
        <v>0.52800000000000002</v>
      </c>
    </row>
    <row r="111" spans="1:12" x14ac:dyDescent="0.3">
      <c r="A111" t="s">
        <v>238</v>
      </c>
      <c r="B111" t="s">
        <v>239</v>
      </c>
      <c r="C111" t="s">
        <v>29</v>
      </c>
      <c r="D111">
        <v>83</v>
      </c>
      <c r="E111">
        <v>62</v>
      </c>
      <c r="F111">
        <v>32</v>
      </c>
      <c r="G111">
        <v>83</v>
      </c>
      <c r="H111">
        <v>95</v>
      </c>
      <c r="I111">
        <v>355</v>
      </c>
      <c r="J111">
        <v>500</v>
      </c>
      <c r="K111">
        <v>0.71</v>
      </c>
      <c r="L111">
        <v>0.29000000000000004</v>
      </c>
    </row>
    <row r="112" spans="1:12" x14ac:dyDescent="0.3">
      <c r="A112" t="s">
        <v>240</v>
      </c>
      <c r="B112" t="s">
        <v>241</v>
      </c>
      <c r="C112" t="s">
        <v>32</v>
      </c>
      <c r="D112">
        <v>39</v>
      </c>
      <c r="E112">
        <v>52</v>
      </c>
      <c r="F112">
        <v>72</v>
      </c>
      <c r="G112">
        <v>99</v>
      </c>
      <c r="H112">
        <v>58</v>
      </c>
      <c r="I112">
        <v>320</v>
      </c>
      <c r="J112">
        <v>500</v>
      </c>
      <c r="K112">
        <v>0.64</v>
      </c>
      <c r="L112">
        <v>0.36</v>
      </c>
    </row>
    <row r="113" spans="1:12" x14ac:dyDescent="0.3">
      <c r="A113" t="s">
        <v>242</v>
      </c>
      <c r="B113" t="s">
        <v>243</v>
      </c>
      <c r="C113" t="s">
        <v>35</v>
      </c>
      <c r="D113">
        <v>93</v>
      </c>
      <c r="E113">
        <v>74</v>
      </c>
      <c r="F113">
        <v>85</v>
      </c>
      <c r="G113">
        <v>47</v>
      </c>
      <c r="H113">
        <v>90</v>
      </c>
      <c r="I113">
        <v>389</v>
      </c>
      <c r="J113">
        <v>500</v>
      </c>
      <c r="K113">
        <v>0.77800000000000002</v>
      </c>
      <c r="L113">
        <v>0.22199999999999998</v>
      </c>
    </row>
    <row r="114" spans="1:12" x14ac:dyDescent="0.3">
      <c r="A114" t="s">
        <v>244</v>
      </c>
      <c r="B114" t="s">
        <v>245</v>
      </c>
      <c r="C114" t="s">
        <v>14</v>
      </c>
      <c r="D114">
        <v>43</v>
      </c>
      <c r="E114">
        <v>88</v>
      </c>
      <c r="F114">
        <v>35</v>
      </c>
      <c r="G114">
        <v>54</v>
      </c>
      <c r="H114">
        <v>91</v>
      </c>
      <c r="I114">
        <v>311</v>
      </c>
      <c r="J114">
        <v>500</v>
      </c>
      <c r="K114">
        <v>0.622</v>
      </c>
      <c r="L114">
        <v>0.378</v>
      </c>
    </row>
    <row r="115" spans="1:12" x14ac:dyDescent="0.3">
      <c r="A115" t="s">
        <v>246</v>
      </c>
      <c r="B115" t="s">
        <v>247</v>
      </c>
      <c r="C115" t="s">
        <v>17</v>
      </c>
      <c r="D115">
        <v>87</v>
      </c>
      <c r="E115">
        <v>15</v>
      </c>
      <c r="F115">
        <v>11</v>
      </c>
      <c r="G115">
        <v>42</v>
      </c>
      <c r="H115">
        <v>88</v>
      </c>
      <c r="I115">
        <v>243</v>
      </c>
      <c r="J115">
        <v>500</v>
      </c>
      <c r="K115">
        <v>0.48599999999999999</v>
      </c>
      <c r="L115">
        <v>0.51400000000000001</v>
      </c>
    </row>
    <row r="116" spans="1:12" x14ac:dyDescent="0.3">
      <c r="A116" t="s">
        <v>248</v>
      </c>
      <c r="B116" t="s">
        <v>249</v>
      </c>
      <c r="C116" t="s">
        <v>20</v>
      </c>
      <c r="D116">
        <v>45</v>
      </c>
      <c r="E116">
        <v>45</v>
      </c>
      <c r="F116">
        <v>61</v>
      </c>
      <c r="G116">
        <v>11</v>
      </c>
      <c r="H116">
        <v>52</v>
      </c>
      <c r="I116">
        <v>214</v>
      </c>
      <c r="J116">
        <v>500</v>
      </c>
      <c r="K116">
        <v>0.42799999999999999</v>
      </c>
      <c r="L116">
        <v>0.57200000000000006</v>
      </c>
    </row>
    <row r="117" spans="1:12" x14ac:dyDescent="0.3">
      <c r="A117" t="s">
        <v>250</v>
      </c>
      <c r="B117" t="s">
        <v>251</v>
      </c>
      <c r="C117" t="s">
        <v>23</v>
      </c>
      <c r="D117">
        <v>71</v>
      </c>
      <c r="E117">
        <v>42</v>
      </c>
      <c r="F117">
        <v>17</v>
      </c>
      <c r="G117">
        <v>57</v>
      </c>
      <c r="H117">
        <v>96</v>
      </c>
      <c r="I117">
        <v>283</v>
      </c>
      <c r="J117">
        <v>500</v>
      </c>
      <c r="K117">
        <v>0.56599999999999995</v>
      </c>
      <c r="L117">
        <v>0.43400000000000005</v>
      </c>
    </row>
    <row r="118" spans="1:12" x14ac:dyDescent="0.3">
      <c r="A118" t="s">
        <v>252</v>
      </c>
      <c r="B118" t="s">
        <v>253</v>
      </c>
      <c r="C118" t="s">
        <v>26</v>
      </c>
      <c r="D118">
        <v>26</v>
      </c>
      <c r="E118">
        <v>65</v>
      </c>
      <c r="F118">
        <v>17</v>
      </c>
      <c r="G118">
        <v>28</v>
      </c>
      <c r="H118">
        <v>30</v>
      </c>
      <c r="I118">
        <v>166</v>
      </c>
      <c r="J118">
        <v>500</v>
      </c>
      <c r="K118">
        <v>0.33200000000000002</v>
      </c>
      <c r="L118">
        <v>0.66799999999999993</v>
      </c>
    </row>
    <row r="119" spans="1:12" x14ac:dyDescent="0.3">
      <c r="A119" t="s">
        <v>254</v>
      </c>
      <c r="B119" t="s">
        <v>255</v>
      </c>
      <c r="C119" t="s">
        <v>29</v>
      </c>
      <c r="D119">
        <v>26</v>
      </c>
      <c r="E119">
        <v>61</v>
      </c>
      <c r="F119">
        <v>89</v>
      </c>
      <c r="G119">
        <v>71</v>
      </c>
      <c r="H119">
        <v>33</v>
      </c>
      <c r="I119">
        <v>280</v>
      </c>
      <c r="J119">
        <v>500</v>
      </c>
      <c r="K119">
        <v>0.56000000000000005</v>
      </c>
      <c r="L119">
        <v>0.43999999999999995</v>
      </c>
    </row>
    <row r="120" spans="1:12" x14ac:dyDescent="0.3">
      <c r="A120" t="s">
        <v>256</v>
      </c>
      <c r="B120" t="s">
        <v>257</v>
      </c>
      <c r="C120" t="s">
        <v>32</v>
      </c>
      <c r="D120">
        <v>93</v>
      </c>
      <c r="E120">
        <v>11</v>
      </c>
      <c r="F120">
        <v>93</v>
      </c>
      <c r="G120">
        <v>31</v>
      </c>
      <c r="H120">
        <v>30</v>
      </c>
      <c r="I120">
        <v>258</v>
      </c>
      <c r="J120">
        <v>500</v>
      </c>
      <c r="K120">
        <v>0.51600000000000001</v>
      </c>
      <c r="L120">
        <v>0.48399999999999999</v>
      </c>
    </row>
    <row r="121" spans="1:12" x14ac:dyDescent="0.3">
      <c r="A121" t="s">
        <v>258</v>
      </c>
      <c r="B121" t="s">
        <v>259</v>
      </c>
      <c r="C121" t="s">
        <v>35</v>
      </c>
      <c r="D121">
        <v>65</v>
      </c>
      <c r="E121">
        <v>92</v>
      </c>
      <c r="F121">
        <v>48</v>
      </c>
      <c r="G121">
        <v>96</v>
      </c>
      <c r="H121">
        <v>15</v>
      </c>
      <c r="I121">
        <v>316</v>
      </c>
      <c r="J121">
        <v>500</v>
      </c>
      <c r="K121">
        <v>0.63200000000000001</v>
      </c>
      <c r="L121">
        <v>0.36799999999999999</v>
      </c>
    </row>
    <row r="122" spans="1:12" x14ac:dyDescent="0.3">
      <c r="A122" t="s">
        <v>260</v>
      </c>
      <c r="B122" t="s">
        <v>261</v>
      </c>
      <c r="C122" t="s">
        <v>14</v>
      </c>
      <c r="D122">
        <v>91</v>
      </c>
      <c r="E122">
        <v>38</v>
      </c>
      <c r="F122">
        <v>33</v>
      </c>
      <c r="G122">
        <v>55</v>
      </c>
      <c r="H122">
        <v>83</v>
      </c>
      <c r="I122">
        <v>300</v>
      </c>
      <c r="J122">
        <v>500</v>
      </c>
      <c r="K122">
        <v>0.6</v>
      </c>
      <c r="L122">
        <v>0.4</v>
      </c>
    </row>
    <row r="123" spans="1:12" x14ac:dyDescent="0.3">
      <c r="A123" t="s">
        <v>262</v>
      </c>
      <c r="B123" t="s">
        <v>263</v>
      </c>
      <c r="C123" t="s">
        <v>17</v>
      </c>
      <c r="D123">
        <v>20</v>
      </c>
      <c r="E123">
        <v>94</v>
      </c>
      <c r="F123">
        <v>45</v>
      </c>
      <c r="G123">
        <v>70</v>
      </c>
      <c r="H123">
        <v>98</v>
      </c>
      <c r="I123">
        <v>327</v>
      </c>
      <c r="J123">
        <v>500</v>
      </c>
      <c r="K123">
        <v>0.65400000000000003</v>
      </c>
      <c r="L123">
        <v>0.34599999999999997</v>
      </c>
    </row>
    <row r="124" spans="1:12" x14ac:dyDescent="0.3">
      <c r="A124" t="s">
        <v>264</v>
      </c>
      <c r="B124" t="s">
        <v>265</v>
      </c>
      <c r="C124" t="s">
        <v>20</v>
      </c>
      <c r="D124">
        <v>25</v>
      </c>
      <c r="E124">
        <v>83</v>
      </c>
      <c r="F124">
        <v>26</v>
      </c>
      <c r="G124">
        <v>68</v>
      </c>
      <c r="H124">
        <v>22</v>
      </c>
      <c r="I124">
        <v>224</v>
      </c>
      <c r="J124">
        <v>500</v>
      </c>
      <c r="K124">
        <v>0.44800000000000001</v>
      </c>
      <c r="L124">
        <v>0.55200000000000005</v>
      </c>
    </row>
    <row r="125" spans="1:12" x14ac:dyDescent="0.3">
      <c r="A125" t="s">
        <v>266</v>
      </c>
      <c r="B125" t="s">
        <v>267</v>
      </c>
      <c r="C125" t="s">
        <v>23</v>
      </c>
      <c r="D125">
        <v>26</v>
      </c>
      <c r="E125">
        <v>16</v>
      </c>
      <c r="F125">
        <v>61</v>
      </c>
      <c r="G125">
        <v>92</v>
      </c>
      <c r="H125">
        <v>50</v>
      </c>
      <c r="I125">
        <v>245</v>
      </c>
      <c r="J125">
        <v>500</v>
      </c>
      <c r="K125">
        <v>0.49</v>
      </c>
      <c r="L125">
        <v>0.51</v>
      </c>
    </row>
    <row r="126" spans="1:12" x14ac:dyDescent="0.3">
      <c r="A126" t="s">
        <v>268</v>
      </c>
      <c r="B126" t="s">
        <v>269</v>
      </c>
      <c r="C126" t="s">
        <v>26</v>
      </c>
      <c r="D126">
        <v>31</v>
      </c>
      <c r="E126">
        <v>55</v>
      </c>
      <c r="F126">
        <v>75</v>
      </c>
      <c r="G126">
        <v>66</v>
      </c>
      <c r="H126">
        <v>75</v>
      </c>
      <c r="I126">
        <v>302</v>
      </c>
      <c r="J126">
        <v>500</v>
      </c>
      <c r="K126">
        <v>0.60399999999999998</v>
      </c>
      <c r="L126">
        <v>0.39600000000000002</v>
      </c>
    </row>
    <row r="127" spans="1:12" x14ac:dyDescent="0.3">
      <c r="A127" t="s">
        <v>270</v>
      </c>
      <c r="B127" t="s">
        <v>271</v>
      </c>
      <c r="C127" t="s">
        <v>29</v>
      </c>
      <c r="D127">
        <v>41</v>
      </c>
      <c r="E127">
        <v>66</v>
      </c>
      <c r="F127">
        <v>48</v>
      </c>
      <c r="G127">
        <v>70</v>
      </c>
      <c r="H127">
        <v>48</v>
      </c>
      <c r="I127">
        <v>273</v>
      </c>
      <c r="J127">
        <v>500</v>
      </c>
      <c r="K127">
        <v>0.54600000000000004</v>
      </c>
      <c r="L127">
        <v>0.45399999999999996</v>
      </c>
    </row>
    <row r="128" spans="1:12" x14ac:dyDescent="0.3">
      <c r="A128" t="s">
        <v>272</v>
      </c>
      <c r="B128" t="s">
        <v>273</v>
      </c>
      <c r="C128" t="s">
        <v>32</v>
      </c>
      <c r="D128">
        <v>60</v>
      </c>
      <c r="E128">
        <v>92</v>
      </c>
      <c r="F128">
        <v>32</v>
      </c>
      <c r="G128">
        <v>60</v>
      </c>
      <c r="H128">
        <v>78</v>
      </c>
      <c r="I128">
        <v>322</v>
      </c>
      <c r="J128">
        <v>500</v>
      </c>
      <c r="K128">
        <v>0.64400000000000002</v>
      </c>
      <c r="L128">
        <v>0.35599999999999998</v>
      </c>
    </row>
    <row r="129" spans="1:12" x14ac:dyDescent="0.3">
      <c r="A129" t="s">
        <v>274</v>
      </c>
      <c r="B129" t="s">
        <v>275</v>
      </c>
      <c r="C129" t="s">
        <v>35</v>
      </c>
      <c r="D129">
        <v>42</v>
      </c>
      <c r="E129">
        <v>24</v>
      </c>
      <c r="F129">
        <v>19</v>
      </c>
      <c r="G129">
        <v>82</v>
      </c>
      <c r="H129">
        <v>16</v>
      </c>
      <c r="I129">
        <v>183</v>
      </c>
      <c r="J129">
        <v>500</v>
      </c>
      <c r="K129">
        <v>0.36599999999999999</v>
      </c>
      <c r="L129">
        <v>0.63400000000000001</v>
      </c>
    </row>
    <row r="130" spans="1:12" x14ac:dyDescent="0.3">
      <c r="A130" t="s">
        <v>276</v>
      </c>
      <c r="B130" t="s">
        <v>277</v>
      </c>
      <c r="C130" t="s">
        <v>14</v>
      </c>
      <c r="D130">
        <v>26</v>
      </c>
      <c r="E130">
        <v>85</v>
      </c>
      <c r="F130">
        <v>75</v>
      </c>
      <c r="G130">
        <v>83</v>
      </c>
      <c r="H130">
        <v>37</v>
      </c>
      <c r="I130">
        <v>306</v>
      </c>
      <c r="J130">
        <v>500</v>
      </c>
      <c r="K130">
        <v>0.61199999999999999</v>
      </c>
      <c r="L130">
        <v>0.38800000000000001</v>
      </c>
    </row>
    <row r="131" spans="1:12" x14ac:dyDescent="0.3">
      <c r="A131" t="s">
        <v>278</v>
      </c>
      <c r="B131" t="s">
        <v>279</v>
      </c>
      <c r="C131" t="s">
        <v>17</v>
      </c>
      <c r="D131">
        <v>81</v>
      </c>
      <c r="E131">
        <v>68</v>
      </c>
      <c r="F131">
        <v>74</v>
      </c>
      <c r="G131">
        <v>72</v>
      </c>
      <c r="H131">
        <v>12</v>
      </c>
      <c r="I131">
        <v>307</v>
      </c>
      <c r="J131">
        <v>500</v>
      </c>
      <c r="K131">
        <v>0.61399999999999999</v>
      </c>
      <c r="L131">
        <v>0.38600000000000001</v>
      </c>
    </row>
    <row r="132" spans="1:12" x14ac:dyDescent="0.3">
      <c r="A132" t="s">
        <v>280</v>
      </c>
      <c r="B132" t="s">
        <v>281</v>
      </c>
      <c r="C132" t="s">
        <v>20</v>
      </c>
      <c r="D132">
        <v>90</v>
      </c>
      <c r="E132">
        <v>79</v>
      </c>
      <c r="F132">
        <v>99</v>
      </c>
      <c r="G132">
        <v>60</v>
      </c>
      <c r="H132">
        <v>27</v>
      </c>
      <c r="I132">
        <v>355</v>
      </c>
      <c r="J132">
        <v>500</v>
      </c>
      <c r="K132">
        <v>0.71</v>
      </c>
      <c r="L132">
        <v>0.29000000000000004</v>
      </c>
    </row>
    <row r="133" spans="1:12" x14ac:dyDescent="0.3">
      <c r="A133" t="s">
        <v>282</v>
      </c>
      <c r="B133" t="s">
        <v>283</v>
      </c>
      <c r="C133" t="s">
        <v>23</v>
      </c>
      <c r="D133">
        <v>71</v>
      </c>
      <c r="E133">
        <v>21</v>
      </c>
      <c r="F133">
        <v>70</v>
      </c>
      <c r="G133">
        <v>53</v>
      </c>
      <c r="H133">
        <v>49</v>
      </c>
      <c r="I133">
        <v>264</v>
      </c>
      <c r="J133">
        <v>500</v>
      </c>
      <c r="K133">
        <v>0.52800000000000002</v>
      </c>
      <c r="L133">
        <v>0.47199999999999998</v>
      </c>
    </row>
    <row r="134" spans="1:12" x14ac:dyDescent="0.3">
      <c r="A134" t="s">
        <v>284</v>
      </c>
      <c r="B134" t="s">
        <v>285</v>
      </c>
      <c r="C134" t="s">
        <v>26</v>
      </c>
      <c r="D134">
        <v>86</v>
      </c>
      <c r="E134">
        <v>60</v>
      </c>
      <c r="F134">
        <v>59</v>
      </c>
      <c r="G134">
        <v>51</v>
      </c>
      <c r="H134">
        <v>90</v>
      </c>
      <c r="I134">
        <v>346</v>
      </c>
      <c r="J134">
        <v>500</v>
      </c>
      <c r="K134">
        <v>0.69199999999999995</v>
      </c>
      <c r="L134">
        <v>0.30800000000000005</v>
      </c>
    </row>
    <row r="135" spans="1:12" x14ac:dyDescent="0.3">
      <c r="A135" t="s">
        <v>286</v>
      </c>
      <c r="B135" t="s">
        <v>287</v>
      </c>
      <c r="C135" t="s">
        <v>29</v>
      </c>
      <c r="D135">
        <v>68</v>
      </c>
      <c r="E135">
        <v>61</v>
      </c>
      <c r="F135">
        <v>12</v>
      </c>
      <c r="G135">
        <v>41</v>
      </c>
      <c r="H135">
        <v>35</v>
      </c>
      <c r="I135">
        <v>217</v>
      </c>
      <c r="J135">
        <v>500</v>
      </c>
      <c r="K135">
        <v>0.434</v>
      </c>
      <c r="L135">
        <v>0.56600000000000006</v>
      </c>
    </row>
    <row r="136" spans="1:12" x14ac:dyDescent="0.3">
      <c r="A136" t="s">
        <v>288</v>
      </c>
      <c r="B136" t="s">
        <v>289</v>
      </c>
      <c r="C136" t="s">
        <v>32</v>
      </c>
      <c r="D136">
        <v>65</v>
      </c>
      <c r="E136">
        <v>34</v>
      </c>
      <c r="F136">
        <v>15</v>
      </c>
      <c r="G136">
        <v>86</v>
      </c>
      <c r="H136">
        <v>71</v>
      </c>
      <c r="I136">
        <v>271</v>
      </c>
      <c r="J136">
        <v>500</v>
      </c>
      <c r="K136">
        <v>0.54200000000000004</v>
      </c>
      <c r="L136">
        <v>0.45799999999999996</v>
      </c>
    </row>
    <row r="137" spans="1:12" x14ac:dyDescent="0.3">
      <c r="A137" t="s">
        <v>290</v>
      </c>
      <c r="B137" t="s">
        <v>291</v>
      </c>
      <c r="C137" t="s">
        <v>35</v>
      </c>
      <c r="D137">
        <v>91</v>
      </c>
      <c r="E137">
        <v>21</v>
      </c>
      <c r="F137">
        <v>59</v>
      </c>
      <c r="G137">
        <v>85</v>
      </c>
      <c r="H137">
        <v>60</v>
      </c>
      <c r="I137">
        <v>316</v>
      </c>
      <c r="J137">
        <v>500</v>
      </c>
      <c r="K137">
        <v>0.63200000000000001</v>
      </c>
      <c r="L137">
        <v>0.36799999999999999</v>
      </c>
    </row>
    <row r="138" spans="1:12" x14ac:dyDescent="0.3">
      <c r="A138" t="s">
        <v>292</v>
      </c>
      <c r="B138" t="s">
        <v>293</v>
      </c>
      <c r="C138" t="s">
        <v>14</v>
      </c>
      <c r="D138">
        <v>73</v>
      </c>
      <c r="E138">
        <v>67</v>
      </c>
      <c r="F138">
        <v>49</v>
      </c>
      <c r="G138">
        <v>56</v>
      </c>
      <c r="H138">
        <v>43</v>
      </c>
      <c r="I138">
        <v>288</v>
      </c>
      <c r="J138">
        <v>500</v>
      </c>
      <c r="K138">
        <v>0.57599999999999996</v>
      </c>
      <c r="L138">
        <v>0.42400000000000004</v>
      </c>
    </row>
    <row r="139" spans="1:12" x14ac:dyDescent="0.3">
      <c r="A139" t="s">
        <v>294</v>
      </c>
      <c r="B139" t="s">
        <v>295</v>
      </c>
      <c r="C139" t="s">
        <v>17</v>
      </c>
      <c r="D139">
        <v>72</v>
      </c>
      <c r="E139">
        <v>49</v>
      </c>
      <c r="F139">
        <v>93</v>
      </c>
      <c r="G139">
        <v>95</v>
      </c>
      <c r="H139">
        <v>73</v>
      </c>
      <c r="I139">
        <v>382</v>
      </c>
      <c r="J139">
        <v>500</v>
      </c>
      <c r="K139">
        <v>0.76400000000000001</v>
      </c>
      <c r="L139">
        <v>0.23599999999999999</v>
      </c>
    </row>
    <row r="140" spans="1:12" x14ac:dyDescent="0.3">
      <c r="A140" t="s">
        <v>296</v>
      </c>
      <c r="B140" t="s">
        <v>297</v>
      </c>
      <c r="C140" t="s">
        <v>20</v>
      </c>
      <c r="D140">
        <v>85</v>
      </c>
      <c r="E140">
        <v>43</v>
      </c>
      <c r="F140">
        <v>74</v>
      </c>
      <c r="G140">
        <v>26</v>
      </c>
      <c r="H140">
        <v>88</v>
      </c>
      <c r="I140">
        <v>316</v>
      </c>
      <c r="J140">
        <v>500</v>
      </c>
      <c r="K140">
        <v>0.63200000000000001</v>
      </c>
      <c r="L140">
        <v>0.36799999999999999</v>
      </c>
    </row>
    <row r="141" spans="1:12" x14ac:dyDescent="0.3">
      <c r="A141" t="s">
        <v>298</v>
      </c>
      <c r="B141" t="s">
        <v>299</v>
      </c>
      <c r="C141" t="s">
        <v>23</v>
      </c>
      <c r="D141">
        <v>77</v>
      </c>
      <c r="E141">
        <v>81</v>
      </c>
      <c r="F141">
        <v>10</v>
      </c>
      <c r="G141">
        <v>65</v>
      </c>
      <c r="H141">
        <v>83</v>
      </c>
      <c r="I141">
        <v>316</v>
      </c>
      <c r="J141">
        <v>500</v>
      </c>
      <c r="K141">
        <v>0.63200000000000001</v>
      </c>
      <c r="L141">
        <v>0.36799999999999999</v>
      </c>
    </row>
    <row r="142" spans="1:12" x14ac:dyDescent="0.3">
      <c r="A142" t="s">
        <v>300</v>
      </c>
      <c r="B142" t="s">
        <v>301</v>
      </c>
      <c r="C142" t="s">
        <v>26</v>
      </c>
      <c r="D142">
        <v>46</v>
      </c>
      <c r="E142">
        <v>52</v>
      </c>
      <c r="F142">
        <v>57</v>
      </c>
      <c r="G142">
        <v>67</v>
      </c>
      <c r="H142">
        <v>64</v>
      </c>
      <c r="I142">
        <v>286</v>
      </c>
      <c r="J142">
        <v>500</v>
      </c>
      <c r="K142">
        <v>0.57199999999999995</v>
      </c>
      <c r="L142">
        <v>0.42800000000000005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6.109375" customWidth="1"/>
    <col min="9" max="9" width="10.5546875" customWidth="1"/>
    <col min="10" max="10" width="7.21875" customWidth="1"/>
    <col min="11" max="11" width="11.77734375" customWidth="1"/>
    <col min="12" max="12" width="18.33203125" customWidth="1"/>
  </cols>
  <sheetData>
    <row r="1" spans="1:12" x14ac:dyDescent="0.3">
      <c r="A1" s="10" t="s">
        <v>0</v>
      </c>
      <c r="B1" s="11" t="s">
        <v>1</v>
      </c>
      <c r="C1" s="11" t="s">
        <v>2</v>
      </c>
      <c r="D1" s="11" t="s">
        <v>3</v>
      </c>
      <c r="E1" s="11" t="s">
        <v>4</v>
      </c>
      <c r="F1" s="11" t="s">
        <v>5</v>
      </c>
      <c r="G1" s="11" t="s">
        <v>6</v>
      </c>
      <c r="H1" s="11" t="s">
        <v>7</v>
      </c>
      <c r="I1" s="11" t="s">
        <v>8</v>
      </c>
      <c r="J1" s="11" t="s">
        <v>9</v>
      </c>
      <c r="K1" s="11" t="s">
        <v>10</v>
      </c>
      <c r="L1" s="12" t="s">
        <v>11</v>
      </c>
    </row>
    <row r="2" spans="1:12" x14ac:dyDescent="0.3">
      <c r="A2" s="8" t="s">
        <v>12</v>
      </c>
      <c r="B2" s="1" t="s">
        <v>13</v>
      </c>
      <c r="C2" s="1" t="s">
        <v>14</v>
      </c>
      <c r="D2" s="2">
        <v>49</v>
      </c>
      <c r="E2" s="2">
        <v>84</v>
      </c>
      <c r="F2" s="2">
        <v>98</v>
      </c>
      <c r="G2" s="2">
        <v>67</v>
      </c>
      <c r="H2" s="2">
        <v>41</v>
      </c>
      <c r="I2" s="3">
        <f>SUM(D2:H2)</f>
        <v>339</v>
      </c>
      <c r="J2" s="3">
        <v>500</v>
      </c>
      <c r="K2" s="4">
        <f>I2/J2</f>
        <v>0.67800000000000005</v>
      </c>
      <c r="L2" s="9">
        <f>100%-K2</f>
        <v>0.32199999999999995</v>
      </c>
    </row>
    <row r="3" spans="1:12" x14ac:dyDescent="0.3">
      <c r="A3" s="8" t="s">
        <v>15</v>
      </c>
      <c r="B3" s="1" t="s">
        <v>16</v>
      </c>
      <c r="C3" s="1" t="s">
        <v>17</v>
      </c>
      <c r="D3" s="2">
        <v>44</v>
      </c>
      <c r="E3" s="2">
        <v>85</v>
      </c>
      <c r="F3" s="2">
        <v>47</v>
      </c>
      <c r="G3" s="2">
        <v>15</v>
      </c>
      <c r="H3" s="2">
        <v>48</v>
      </c>
      <c r="I3" s="3">
        <f t="shared" ref="I3:I66" si="0">SUM(D3:H3)</f>
        <v>239</v>
      </c>
      <c r="J3" s="3">
        <v>500</v>
      </c>
      <c r="K3" s="4">
        <f t="shared" ref="K3:K66" si="1">I3/J3</f>
        <v>0.47799999999999998</v>
      </c>
      <c r="L3" s="9">
        <f t="shared" ref="L3:L66" si="2">100%-K3</f>
        <v>0.52200000000000002</v>
      </c>
    </row>
    <row r="4" spans="1:12" x14ac:dyDescent="0.3">
      <c r="A4" s="8" t="s">
        <v>18</v>
      </c>
      <c r="B4" s="1" t="s">
        <v>19</v>
      </c>
      <c r="C4" s="1" t="s">
        <v>20</v>
      </c>
      <c r="D4" s="2">
        <v>45</v>
      </c>
      <c r="E4" s="2">
        <v>79</v>
      </c>
      <c r="F4" s="2">
        <v>88</v>
      </c>
      <c r="G4" s="2">
        <v>73</v>
      </c>
      <c r="H4" s="2">
        <v>94</v>
      </c>
      <c r="I4" s="3">
        <f t="shared" si="0"/>
        <v>379</v>
      </c>
      <c r="J4" s="3">
        <v>500</v>
      </c>
      <c r="K4" s="4">
        <f t="shared" si="1"/>
        <v>0.75800000000000001</v>
      </c>
      <c r="L4" s="9">
        <f t="shared" si="2"/>
        <v>0.24199999999999999</v>
      </c>
    </row>
    <row r="5" spans="1:12" x14ac:dyDescent="0.3">
      <c r="A5" s="8" t="s">
        <v>21</v>
      </c>
      <c r="B5" s="1" t="s">
        <v>22</v>
      </c>
      <c r="C5" s="1" t="s">
        <v>23</v>
      </c>
      <c r="D5" s="2">
        <v>52</v>
      </c>
      <c r="E5" s="2">
        <v>99</v>
      </c>
      <c r="F5" s="2">
        <v>13</v>
      </c>
      <c r="G5" s="2">
        <v>95</v>
      </c>
      <c r="H5" s="2">
        <v>29</v>
      </c>
      <c r="I5" s="3">
        <f t="shared" si="0"/>
        <v>288</v>
      </c>
      <c r="J5" s="3">
        <v>500</v>
      </c>
      <c r="K5" s="4">
        <f t="shared" si="1"/>
        <v>0.57599999999999996</v>
      </c>
      <c r="L5" s="9">
        <f t="shared" si="2"/>
        <v>0.42400000000000004</v>
      </c>
    </row>
    <row r="6" spans="1:12" x14ac:dyDescent="0.3">
      <c r="A6" s="8" t="s">
        <v>24</v>
      </c>
      <c r="B6" s="1" t="s">
        <v>25</v>
      </c>
      <c r="C6" s="1" t="s">
        <v>26</v>
      </c>
      <c r="D6" s="2">
        <v>35</v>
      </c>
      <c r="E6" s="2">
        <v>54</v>
      </c>
      <c r="F6" s="2">
        <v>49</v>
      </c>
      <c r="G6" s="2">
        <v>26</v>
      </c>
      <c r="H6" s="2">
        <v>49</v>
      </c>
      <c r="I6" s="3">
        <f t="shared" si="0"/>
        <v>213</v>
      </c>
      <c r="J6" s="3">
        <v>500</v>
      </c>
      <c r="K6" s="4">
        <f t="shared" si="1"/>
        <v>0.42599999999999999</v>
      </c>
      <c r="L6" s="9">
        <f t="shared" si="2"/>
        <v>0.57400000000000007</v>
      </c>
    </row>
    <row r="7" spans="1:12" x14ac:dyDescent="0.3">
      <c r="A7" s="8" t="s">
        <v>27</v>
      </c>
      <c r="B7" s="1" t="s">
        <v>28</v>
      </c>
      <c r="C7" s="1" t="s">
        <v>29</v>
      </c>
      <c r="D7" s="2">
        <v>86</v>
      </c>
      <c r="E7" s="2">
        <v>31</v>
      </c>
      <c r="F7" s="2">
        <v>23</v>
      </c>
      <c r="G7" s="2">
        <v>48</v>
      </c>
      <c r="H7" s="2">
        <v>77</v>
      </c>
      <c r="I7" s="3">
        <f t="shared" si="0"/>
        <v>265</v>
      </c>
      <c r="J7" s="3">
        <v>500</v>
      </c>
      <c r="K7" s="4">
        <f t="shared" si="1"/>
        <v>0.53</v>
      </c>
      <c r="L7" s="9">
        <f t="shared" si="2"/>
        <v>0.47</v>
      </c>
    </row>
    <row r="8" spans="1:12" x14ac:dyDescent="0.3">
      <c r="A8" s="8" t="s">
        <v>30</v>
      </c>
      <c r="B8" s="1" t="s">
        <v>31</v>
      </c>
      <c r="C8" s="1" t="s">
        <v>32</v>
      </c>
      <c r="D8" s="2">
        <v>84</v>
      </c>
      <c r="E8" s="2">
        <v>28</v>
      </c>
      <c r="F8" s="2">
        <v>98</v>
      </c>
      <c r="G8" s="2">
        <v>80</v>
      </c>
      <c r="H8" s="2">
        <v>79</v>
      </c>
      <c r="I8" s="3">
        <f t="shared" si="0"/>
        <v>369</v>
      </c>
      <c r="J8" s="3">
        <v>500</v>
      </c>
      <c r="K8" s="4">
        <f t="shared" si="1"/>
        <v>0.73799999999999999</v>
      </c>
      <c r="L8" s="9">
        <f t="shared" si="2"/>
        <v>0.26200000000000001</v>
      </c>
    </row>
    <row r="9" spans="1:12" x14ac:dyDescent="0.3">
      <c r="A9" s="8" t="s">
        <v>33</v>
      </c>
      <c r="B9" s="1" t="s">
        <v>34</v>
      </c>
      <c r="C9" s="1" t="s">
        <v>35</v>
      </c>
      <c r="D9" s="2">
        <v>73</v>
      </c>
      <c r="E9" s="2">
        <v>97</v>
      </c>
      <c r="F9" s="2">
        <v>38</v>
      </c>
      <c r="G9" s="2">
        <v>24</v>
      </c>
      <c r="H9" s="2">
        <v>53</v>
      </c>
      <c r="I9" s="3">
        <f t="shared" si="0"/>
        <v>285</v>
      </c>
      <c r="J9" s="3">
        <v>500</v>
      </c>
      <c r="K9" s="4">
        <f t="shared" si="1"/>
        <v>0.56999999999999995</v>
      </c>
      <c r="L9" s="9">
        <f t="shared" si="2"/>
        <v>0.43000000000000005</v>
      </c>
    </row>
    <row r="10" spans="1:12" x14ac:dyDescent="0.3">
      <c r="A10" s="8" t="s">
        <v>36</v>
      </c>
      <c r="B10" s="1" t="s">
        <v>37</v>
      </c>
      <c r="C10" s="1" t="s">
        <v>14</v>
      </c>
      <c r="D10" s="2">
        <v>54</v>
      </c>
      <c r="E10" s="2">
        <v>26</v>
      </c>
      <c r="F10" s="2">
        <v>53</v>
      </c>
      <c r="G10" s="2">
        <v>36</v>
      </c>
      <c r="H10" s="2">
        <v>20</v>
      </c>
      <c r="I10" s="3">
        <f t="shared" si="0"/>
        <v>189</v>
      </c>
      <c r="J10" s="3">
        <v>500</v>
      </c>
      <c r="K10" s="4">
        <f t="shared" si="1"/>
        <v>0.378</v>
      </c>
      <c r="L10" s="9">
        <f t="shared" si="2"/>
        <v>0.622</v>
      </c>
    </row>
    <row r="11" spans="1:12" x14ac:dyDescent="0.3">
      <c r="A11" s="8" t="s">
        <v>38</v>
      </c>
      <c r="B11" s="1" t="s">
        <v>39</v>
      </c>
      <c r="C11" s="1" t="s">
        <v>17</v>
      </c>
      <c r="D11" s="2">
        <v>52</v>
      </c>
      <c r="E11" s="2">
        <v>52</v>
      </c>
      <c r="F11" s="2">
        <v>19</v>
      </c>
      <c r="G11" s="2">
        <v>53</v>
      </c>
      <c r="H11" s="2">
        <v>37</v>
      </c>
      <c r="I11" s="3">
        <f t="shared" si="0"/>
        <v>213</v>
      </c>
      <c r="J11" s="3">
        <v>500</v>
      </c>
      <c r="K11" s="4">
        <f t="shared" si="1"/>
        <v>0.42599999999999999</v>
      </c>
      <c r="L11" s="9">
        <f t="shared" si="2"/>
        <v>0.57400000000000007</v>
      </c>
    </row>
    <row r="12" spans="1:12" x14ac:dyDescent="0.3">
      <c r="A12" s="8" t="s">
        <v>40</v>
      </c>
      <c r="B12" s="1" t="s">
        <v>41</v>
      </c>
      <c r="C12" s="1" t="s">
        <v>20</v>
      </c>
      <c r="D12" s="2">
        <v>63</v>
      </c>
      <c r="E12" s="2">
        <v>17</v>
      </c>
      <c r="F12" s="2">
        <v>40</v>
      </c>
      <c r="G12" s="2">
        <v>48</v>
      </c>
      <c r="H12" s="2">
        <v>51</v>
      </c>
      <c r="I12" s="3">
        <f t="shared" si="0"/>
        <v>219</v>
      </c>
      <c r="J12" s="3">
        <v>500</v>
      </c>
      <c r="K12" s="4">
        <f t="shared" si="1"/>
        <v>0.438</v>
      </c>
      <c r="L12" s="9">
        <f t="shared" si="2"/>
        <v>0.56200000000000006</v>
      </c>
    </row>
    <row r="13" spans="1:12" x14ac:dyDescent="0.3">
      <c r="A13" s="8" t="s">
        <v>42</v>
      </c>
      <c r="B13" s="1" t="s">
        <v>43</v>
      </c>
      <c r="C13" s="1" t="s">
        <v>23</v>
      </c>
      <c r="D13" s="2">
        <v>79</v>
      </c>
      <c r="E13" s="2">
        <v>99</v>
      </c>
      <c r="F13" s="2">
        <v>95</v>
      </c>
      <c r="G13" s="2">
        <v>12</v>
      </c>
      <c r="H13" s="2">
        <v>91</v>
      </c>
      <c r="I13" s="3">
        <f t="shared" si="0"/>
        <v>376</v>
      </c>
      <c r="J13" s="3">
        <v>500</v>
      </c>
      <c r="K13" s="4">
        <f t="shared" si="1"/>
        <v>0.752</v>
      </c>
      <c r="L13" s="9">
        <f t="shared" si="2"/>
        <v>0.248</v>
      </c>
    </row>
    <row r="14" spans="1:12" x14ac:dyDescent="0.3">
      <c r="A14" s="8" t="s">
        <v>44</v>
      </c>
      <c r="B14" s="1" t="s">
        <v>45</v>
      </c>
      <c r="C14" s="1" t="s">
        <v>26</v>
      </c>
      <c r="D14" s="5">
        <v>95</v>
      </c>
      <c r="E14" s="2">
        <v>88</v>
      </c>
      <c r="F14" s="2">
        <v>11</v>
      </c>
      <c r="G14" s="2">
        <v>78</v>
      </c>
      <c r="H14" s="2">
        <v>60</v>
      </c>
      <c r="I14" s="3">
        <f t="shared" si="0"/>
        <v>332</v>
      </c>
      <c r="J14" s="3">
        <v>500</v>
      </c>
      <c r="K14" s="4">
        <f t="shared" si="1"/>
        <v>0.66400000000000003</v>
      </c>
      <c r="L14" s="9">
        <f t="shared" si="2"/>
        <v>0.33599999999999997</v>
      </c>
    </row>
    <row r="15" spans="1:12" x14ac:dyDescent="0.3">
      <c r="A15" s="8" t="s">
        <v>46</v>
      </c>
      <c r="B15" s="1" t="s">
        <v>47</v>
      </c>
      <c r="C15" s="1" t="s">
        <v>29</v>
      </c>
      <c r="D15" s="2">
        <v>83</v>
      </c>
      <c r="E15" s="2">
        <v>77</v>
      </c>
      <c r="F15" s="2">
        <v>66</v>
      </c>
      <c r="G15" s="2">
        <v>22</v>
      </c>
      <c r="H15" s="2">
        <v>40</v>
      </c>
      <c r="I15" s="3">
        <f t="shared" si="0"/>
        <v>288</v>
      </c>
      <c r="J15" s="3">
        <v>500</v>
      </c>
      <c r="K15" s="4">
        <f t="shared" si="1"/>
        <v>0.57599999999999996</v>
      </c>
      <c r="L15" s="9">
        <f t="shared" si="2"/>
        <v>0.42400000000000004</v>
      </c>
    </row>
    <row r="16" spans="1:12" x14ac:dyDescent="0.3">
      <c r="A16" s="8" t="s">
        <v>48</v>
      </c>
      <c r="B16" s="1" t="s">
        <v>49</v>
      </c>
      <c r="C16" s="1" t="s">
        <v>32</v>
      </c>
      <c r="D16" s="2">
        <v>78</v>
      </c>
      <c r="E16" s="2">
        <v>58</v>
      </c>
      <c r="F16" s="2">
        <v>34</v>
      </c>
      <c r="G16" s="2">
        <v>84</v>
      </c>
      <c r="H16" s="2">
        <v>31</v>
      </c>
      <c r="I16" s="3">
        <f t="shared" si="0"/>
        <v>285</v>
      </c>
      <c r="J16" s="3">
        <v>500</v>
      </c>
      <c r="K16" s="4">
        <f t="shared" si="1"/>
        <v>0.56999999999999995</v>
      </c>
      <c r="L16" s="9">
        <f t="shared" si="2"/>
        <v>0.43000000000000005</v>
      </c>
    </row>
    <row r="17" spans="1:12" x14ac:dyDescent="0.3">
      <c r="A17" s="8" t="s">
        <v>50</v>
      </c>
      <c r="B17" s="1" t="s">
        <v>51</v>
      </c>
      <c r="C17" s="1" t="s">
        <v>35</v>
      </c>
      <c r="D17" s="2">
        <v>14</v>
      </c>
      <c r="E17" s="2">
        <v>25</v>
      </c>
      <c r="F17" s="2">
        <v>45</v>
      </c>
      <c r="G17" s="2">
        <v>70</v>
      </c>
      <c r="H17" s="2">
        <v>45</v>
      </c>
      <c r="I17" s="3">
        <f t="shared" si="0"/>
        <v>199</v>
      </c>
      <c r="J17" s="3">
        <v>500</v>
      </c>
      <c r="K17" s="4">
        <f t="shared" si="1"/>
        <v>0.39800000000000002</v>
      </c>
      <c r="L17" s="9">
        <f t="shared" si="2"/>
        <v>0.60199999999999998</v>
      </c>
    </row>
    <row r="18" spans="1:12" x14ac:dyDescent="0.3">
      <c r="A18" s="8" t="s">
        <v>52</v>
      </c>
      <c r="B18" s="1" t="s">
        <v>53</v>
      </c>
      <c r="C18" s="1" t="s">
        <v>14</v>
      </c>
      <c r="D18" s="2">
        <v>37</v>
      </c>
      <c r="E18" s="2">
        <v>69</v>
      </c>
      <c r="F18" s="2">
        <v>96</v>
      </c>
      <c r="G18" s="2">
        <v>66</v>
      </c>
      <c r="H18" s="2">
        <v>38</v>
      </c>
      <c r="I18" s="3">
        <f t="shared" si="0"/>
        <v>306</v>
      </c>
      <c r="J18" s="3">
        <v>500</v>
      </c>
      <c r="K18" s="4">
        <f t="shared" si="1"/>
        <v>0.61199999999999999</v>
      </c>
      <c r="L18" s="9">
        <f t="shared" si="2"/>
        <v>0.38800000000000001</v>
      </c>
    </row>
    <row r="19" spans="1:12" x14ac:dyDescent="0.3">
      <c r="A19" s="8" t="s">
        <v>54</v>
      </c>
      <c r="B19" s="1" t="s">
        <v>55</v>
      </c>
      <c r="C19" s="1" t="s">
        <v>17</v>
      </c>
      <c r="D19" s="2">
        <v>11</v>
      </c>
      <c r="E19" s="2">
        <v>46</v>
      </c>
      <c r="F19" s="2">
        <v>91</v>
      </c>
      <c r="G19" s="2">
        <v>98</v>
      </c>
      <c r="H19" s="2">
        <v>45</v>
      </c>
      <c r="I19" s="3">
        <f t="shared" si="0"/>
        <v>291</v>
      </c>
      <c r="J19" s="3">
        <v>500</v>
      </c>
      <c r="K19" s="4">
        <f t="shared" si="1"/>
        <v>0.58199999999999996</v>
      </c>
      <c r="L19" s="9">
        <f t="shared" si="2"/>
        <v>0.41800000000000004</v>
      </c>
    </row>
    <row r="20" spans="1:12" x14ac:dyDescent="0.3">
      <c r="A20" s="8" t="s">
        <v>56</v>
      </c>
      <c r="B20" s="1" t="s">
        <v>57</v>
      </c>
      <c r="C20" s="1" t="s">
        <v>20</v>
      </c>
      <c r="D20" s="2">
        <v>19</v>
      </c>
      <c r="E20" s="2">
        <v>34</v>
      </c>
      <c r="F20" s="2">
        <v>64</v>
      </c>
      <c r="G20" s="2">
        <v>65</v>
      </c>
      <c r="H20" s="2">
        <v>70</v>
      </c>
      <c r="I20" s="3">
        <f t="shared" si="0"/>
        <v>252</v>
      </c>
      <c r="J20" s="3">
        <v>500</v>
      </c>
      <c r="K20" s="4">
        <f t="shared" si="1"/>
        <v>0.504</v>
      </c>
      <c r="L20" s="9">
        <f t="shared" si="2"/>
        <v>0.496</v>
      </c>
    </row>
    <row r="21" spans="1:12" x14ac:dyDescent="0.3">
      <c r="A21" s="8" t="s">
        <v>58</v>
      </c>
      <c r="B21" s="1" t="s">
        <v>59</v>
      </c>
      <c r="C21" s="1" t="s">
        <v>23</v>
      </c>
      <c r="D21" s="2">
        <v>93</v>
      </c>
      <c r="E21" s="2">
        <v>84</v>
      </c>
      <c r="F21" s="2">
        <v>13</v>
      </c>
      <c r="G21" s="2">
        <v>45</v>
      </c>
      <c r="H21" s="2">
        <v>18</v>
      </c>
      <c r="I21" s="3">
        <f t="shared" si="0"/>
        <v>253</v>
      </c>
      <c r="J21" s="3">
        <v>500</v>
      </c>
      <c r="K21" s="4">
        <f t="shared" si="1"/>
        <v>0.50600000000000001</v>
      </c>
      <c r="L21" s="9">
        <f t="shared" si="2"/>
        <v>0.49399999999999999</v>
      </c>
    </row>
    <row r="22" spans="1:12" x14ac:dyDescent="0.3">
      <c r="A22" s="8" t="s">
        <v>60</v>
      </c>
      <c r="B22" s="1" t="s">
        <v>61</v>
      </c>
      <c r="C22" s="1" t="s">
        <v>26</v>
      </c>
      <c r="D22" s="2">
        <v>68</v>
      </c>
      <c r="E22" s="2">
        <v>73</v>
      </c>
      <c r="F22" s="2">
        <v>97</v>
      </c>
      <c r="G22" s="2">
        <v>76</v>
      </c>
      <c r="H22" s="2">
        <v>53</v>
      </c>
      <c r="I22" s="3">
        <f t="shared" si="0"/>
        <v>367</v>
      </c>
      <c r="J22" s="3">
        <v>500</v>
      </c>
      <c r="K22" s="4">
        <f t="shared" si="1"/>
        <v>0.73399999999999999</v>
      </c>
      <c r="L22" s="9">
        <f t="shared" si="2"/>
        <v>0.26600000000000001</v>
      </c>
    </row>
    <row r="23" spans="1:12" x14ac:dyDescent="0.3">
      <c r="A23" s="8" t="s">
        <v>62</v>
      </c>
      <c r="B23" s="1" t="s">
        <v>63</v>
      </c>
      <c r="C23" s="1" t="s">
        <v>29</v>
      </c>
      <c r="D23" s="2">
        <v>99</v>
      </c>
      <c r="E23" s="2">
        <v>17</v>
      </c>
      <c r="F23" s="2">
        <v>48</v>
      </c>
      <c r="G23" s="2">
        <v>44</v>
      </c>
      <c r="H23" s="2">
        <v>93</v>
      </c>
      <c r="I23" s="3">
        <f t="shared" si="0"/>
        <v>301</v>
      </c>
      <c r="J23" s="3">
        <v>500</v>
      </c>
      <c r="K23" s="4">
        <f t="shared" si="1"/>
        <v>0.60199999999999998</v>
      </c>
      <c r="L23" s="9">
        <f t="shared" si="2"/>
        <v>0.39800000000000002</v>
      </c>
    </row>
    <row r="24" spans="1:12" x14ac:dyDescent="0.3">
      <c r="A24" s="8" t="s">
        <v>64</v>
      </c>
      <c r="B24" s="1" t="s">
        <v>65</v>
      </c>
      <c r="C24" s="1" t="s">
        <v>32</v>
      </c>
      <c r="D24" s="2">
        <v>57</v>
      </c>
      <c r="E24" s="2">
        <v>28</v>
      </c>
      <c r="F24" s="2">
        <v>31</v>
      </c>
      <c r="G24" s="2">
        <v>34</v>
      </c>
      <c r="H24" s="2">
        <v>52</v>
      </c>
      <c r="I24" s="3">
        <f t="shared" si="0"/>
        <v>202</v>
      </c>
      <c r="J24" s="3">
        <v>500</v>
      </c>
      <c r="K24" s="4">
        <f t="shared" si="1"/>
        <v>0.40400000000000003</v>
      </c>
      <c r="L24" s="9">
        <f t="shared" si="2"/>
        <v>0.59599999999999997</v>
      </c>
    </row>
    <row r="25" spans="1:12" x14ac:dyDescent="0.3">
      <c r="A25" s="8" t="s">
        <v>66</v>
      </c>
      <c r="B25" s="1" t="s">
        <v>67</v>
      </c>
      <c r="C25" s="1" t="s">
        <v>35</v>
      </c>
      <c r="D25" s="2">
        <v>40</v>
      </c>
      <c r="E25" s="2">
        <v>22</v>
      </c>
      <c r="F25" s="2">
        <v>18</v>
      </c>
      <c r="G25" s="2">
        <v>11</v>
      </c>
      <c r="H25" s="2">
        <v>92</v>
      </c>
      <c r="I25" s="3">
        <f t="shared" si="0"/>
        <v>183</v>
      </c>
      <c r="J25" s="3">
        <v>500</v>
      </c>
      <c r="K25" s="4">
        <f t="shared" si="1"/>
        <v>0.36599999999999999</v>
      </c>
      <c r="L25" s="9">
        <f t="shared" si="2"/>
        <v>0.63400000000000001</v>
      </c>
    </row>
    <row r="26" spans="1:12" x14ac:dyDescent="0.3">
      <c r="A26" s="8" t="s">
        <v>68</v>
      </c>
      <c r="B26" s="1" t="s">
        <v>69</v>
      </c>
      <c r="C26" s="1" t="s">
        <v>14</v>
      </c>
      <c r="D26" s="2">
        <v>47</v>
      </c>
      <c r="E26" s="2">
        <v>99</v>
      </c>
      <c r="F26" s="2">
        <v>94</v>
      </c>
      <c r="G26" s="2">
        <v>75</v>
      </c>
      <c r="H26" s="2">
        <v>29</v>
      </c>
      <c r="I26" s="3">
        <f t="shared" si="0"/>
        <v>344</v>
      </c>
      <c r="J26" s="3">
        <v>500</v>
      </c>
      <c r="K26" s="4">
        <f t="shared" si="1"/>
        <v>0.68799999999999994</v>
      </c>
      <c r="L26" s="9">
        <f t="shared" si="2"/>
        <v>0.31200000000000006</v>
      </c>
    </row>
    <row r="27" spans="1:12" x14ac:dyDescent="0.3">
      <c r="A27" s="8" t="s">
        <v>70</v>
      </c>
      <c r="B27" s="1" t="s">
        <v>71</v>
      </c>
      <c r="C27" s="1" t="s">
        <v>17</v>
      </c>
      <c r="D27" s="2">
        <v>16</v>
      </c>
      <c r="E27" s="2">
        <v>71</v>
      </c>
      <c r="F27" s="2">
        <v>80</v>
      </c>
      <c r="G27" s="2">
        <v>76</v>
      </c>
      <c r="H27" s="2">
        <v>33</v>
      </c>
      <c r="I27" s="3">
        <f t="shared" si="0"/>
        <v>276</v>
      </c>
      <c r="J27" s="3">
        <v>500</v>
      </c>
      <c r="K27" s="4">
        <f t="shared" si="1"/>
        <v>0.55200000000000005</v>
      </c>
      <c r="L27" s="9">
        <f t="shared" si="2"/>
        <v>0.44799999999999995</v>
      </c>
    </row>
    <row r="28" spans="1:12" x14ac:dyDescent="0.3">
      <c r="A28" s="8" t="s">
        <v>72</v>
      </c>
      <c r="B28" s="1" t="s">
        <v>73</v>
      </c>
      <c r="C28" s="1" t="s">
        <v>20</v>
      </c>
      <c r="D28" s="2">
        <v>72</v>
      </c>
      <c r="E28" s="2">
        <v>87</v>
      </c>
      <c r="F28" s="2">
        <v>92</v>
      </c>
      <c r="G28" s="2">
        <v>72</v>
      </c>
      <c r="H28" s="2">
        <v>34</v>
      </c>
      <c r="I28" s="3">
        <f t="shared" si="0"/>
        <v>357</v>
      </c>
      <c r="J28" s="3">
        <v>500</v>
      </c>
      <c r="K28" s="4">
        <f t="shared" si="1"/>
        <v>0.71399999999999997</v>
      </c>
      <c r="L28" s="9">
        <f t="shared" si="2"/>
        <v>0.28600000000000003</v>
      </c>
    </row>
    <row r="29" spans="1:12" x14ac:dyDescent="0.3">
      <c r="A29" s="8" t="s">
        <v>74</v>
      </c>
      <c r="B29" s="1" t="s">
        <v>75</v>
      </c>
      <c r="C29" s="1" t="s">
        <v>23</v>
      </c>
      <c r="D29" s="2">
        <v>30</v>
      </c>
      <c r="E29" s="2">
        <v>38</v>
      </c>
      <c r="F29" s="2">
        <v>70</v>
      </c>
      <c r="G29" s="2">
        <v>89</v>
      </c>
      <c r="H29" s="2">
        <v>97</v>
      </c>
      <c r="I29" s="3">
        <f t="shared" si="0"/>
        <v>324</v>
      </c>
      <c r="J29" s="3">
        <v>500</v>
      </c>
      <c r="K29" s="4">
        <f t="shared" si="1"/>
        <v>0.64800000000000002</v>
      </c>
      <c r="L29" s="9">
        <f t="shared" si="2"/>
        <v>0.35199999999999998</v>
      </c>
    </row>
    <row r="30" spans="1:12" x14ac:dyDescent="0.3">
      <c r="A30" s="8" t="s">
        <v>76</v>
      </c>
      <c r="B30" s="1" t="s">
        <v>77</v>
      </c>
      <c r="C30" s="1" t="s">
        <v>26</v>
      </c>
      <c r="D30" s="2">
        <v>65</v>
      </c>
      <c r="E30" s="2">
        <v>90</v>
      </c>
      <c r="F30" s="2">
        <v>91</v>
      </c>
      <c r="G30" s="2">
        <v>85</v>
      </c>
      <c r="H30" s="2">
        <v>10</v>
      </c>
      <c r="I30" s="3">
        <f t="shared" si="0"/>
        <v>341</v>
      </c>
      <c r="J30" s="3">
        <v>500</v>
      </c>
      <c r="K30" s="4">
        <f t="shared" si="1"/>
        <v>0.68200000000000005</v>
      </c>
      <c r="L30" s="9">
        <f t="shared" si="2"/>
        <v>0.31799999999999995</v>
      </c>
    </row>
    <row r="31" spans="1:12" x14ac:dyDescent="0.3">
      <c r="A31" s="8" t="s">
        <v>78</v>
      </c>
      <c r="B31" s="1" t="s">
        <v>79</v>
      </c>
      <c r="C31" s="1" t="s">
        <v>29</v>
      </c>
      <c r="D31" s="2">
        <v>83</v>
      </c>
      <c r="E31" s="2">
        <v>46</v>
      </c>
      <c r="F31" s="2">
        <v>99</v>
      </c>
      <c r="G31" s="2">
        <v>36</v>
      </c>
      <c r="H31" s="2">
        <v>89</v>
      </c>
      <c r="I31" s="3">
        <f t="shared" si="0"/>
        <v>353</v>
      </c>
      <c r="J31" s="3">
        <v>500</v>
      </c>
      <c r="K31" s="4">
        <f t="shared" si="1"/>
        <v>0.70599999999999996</v>
      </c>
      <c r="L31" s="9">
        <f t="shared" si="2"/>
        <v>0.29400000000000004</v>
      </c>
    </row>
    <row r="32" spans="1:12" x14ac:dyDescent="0.3">
      <c r="A32" s="8" t="s">
        <v>80</v>
      </c>
      <c r="B32" s="1" t="s">
        <v>81</v>
      </c>
      <c r="C32" s="1" t="s">
        <v>32</v>
      </c>
      <c r="D32" s="2">
        <v>10</v>
      </c>
      <c r="E32" s="2">
        <v>66</v>
      </c>
      <c r="F32" s="2">
        <v>40</v>
      </c>
      <c r="G32" s="2">
        <v>22</v>
      </c>
      <c r="H32" s="2">
        <v>38</v>
      </c>
      <c r="I32" s="3">
        <f t="shared" si="0"/>
        <v>176</v>
      </c>
      <c r="J32" s="3">
        <v>500</v>
      </c>
      <c r="K32" s="4">
        <f t="shared" si="1"/>
        <v>0.35199999999999998</v>
      </c>
      <c r="L32" s="9">
        <f t="shared" si="2"/>
        <v>0.64800000000000002</v>
      </c>
    </row>
    <row r="33" spans="1:12" x14ac:dyDescent="0.3">
      <c r="A33" s="8" t="s">
        <v>82</v>
      </c>
      <c r="B33" s="1" t="s">
        <v>83</v>
      </c>
      <c r="C33" s="1" t="s">
        <v>35</v>
      </c>
      <c r="D33" s="2">
        <v>37</v>
      </c>
      <c r="E33" s="2">
        <v>30</v>
      </c>
      <c r="F33" s="2">
        <v>19</v>
      </c>
      <c r="G33" s="2">
        <v>77</v>
      </c>
      <c r="H33" s="2">
        <v>67</v>
      </c>
      <c r="I33" s="3">
        <f t="shared" si="0"/>
        <v>230</v>
      </c>
      <c r="J33" s="3">
        <v>500</v>
      </c>
      <c r="K33" s="4">
        <f t="shared" si="1"/>
        <v>0.46</v>
      </c>
      <c r="L33" s="9">
        <f t="shared" si="2"/>
        <v>0.54</v>
      </c>
    </row>
    <row r="34" spans="1:12" x14ac:dyDescent="0.3">
      <c r="A34" s="8" t="s">
        <v>84</v>
      </c>
      <c r="B34" s="1" t="s">
        <v>85</v>
      </c>
      <c r="C34" s="1" t="s">
        <v>14</v>
      </c>
      <c r="D34" s="2">
        <v>83</v>
      </c>
      <c r="E34" s="2">
        <v>46</v>
      </c>
      <c r="F34" s="2">
        <v>17</v>
      </c>
      <c r="G34" s="2">
        <v>94</v>
      </c>
      <c r="H34" s="2">
        <v>92</v>
      </c>
      <c r="I34" s="3">
        <f t="shared" si="0"/>
        <v>332</v>
      </c>
      <c r="J34" s="3">
        <v>500</v>
      </c>
      <c r="K34" s="4">
        <f t="shared" si="1"/>
        <v>0.66400000000000003</v>
      </c>
      <c r="L34" s="9">
        <f t="shared" si="2"/>
        <v>0.33599999999999997</v>
      </c>
    </row>
    <row r="35" spans="1:12" x14ac:dyDescent="0.3">
      <c r="A35" s="8" t="s">
        <v>86</v>
      </c>
      <c r="B35" s="1" t="s">
        <v>87</v>
      </c>
      <c r="C35" s="1" t="s">
        <v>17</v>
      </c>
      <c r="D35" s="2">
        <v>84</v>
      </c>
      <c r="E35" s="2">
        <v>59</v>
      </c>
      <c r="F35" s="2">
        <v>41</v>
      </c>
      <c r="G35" s="2">
        <v>17</v>
      </c>
      <c r="H35" s="2">
        <v>22</v>
      </c>
      <c r="I35" s="3">
        <f t="shared" si="0"/>
        <v>223</v>
      </c>
      <c r="J35" s="3">
        <v>500</v>
      </c>
      <c r="K35" s="4">
        <f t="shared" si="1"/>
        <v>0.44600000000000001</v>
      </c>
      <c r="L35" s="9">
        <f t="shared" si="2"/>
        <v>0.55400000000000005</v>
      </c>
    </row>
    <row r="36" spans="1:12" x14ac:dyDescent="0.3">
      <c r="A36" s="8" t="s">
        <v>88</v>
      </c>
      <c r="B36" s="1" t="s">
        <v>89</v>
      </c>
      <c r="C36" s="1" t="s">
        <v>20</v>
      </c>
      <c r="D36" s="2">
        <v>82</v>
      </c>
      <c r="E36" s="2">
        <v>54</v>
      </c>
      <c r="F36" s="2">
        <v>79</v>
      </c>
      <c r="G36" s="2">
        <v>61</v>
      </c>
      <c r="H36" s="2">
        <v>47</v>
      </c>
      <c r="I36" s="3">
        <f t="shared" si="0"/>
        <v>323</v>
      </c>
      <c r="J36" s="3">
        <v>500</v>
      </c>
      <c r="K36" s="4">
        <f t="shared" si="1"/>
        <v>0.64600000000000002</v>
      </c>
      <c r="L36" s="9">
        <f t="shared" si="2"/>
        <v>0.35399999999999998</v>
      </c>
    </row>
    <row r="37" spans="1:12" x14ac:dyDescent="0.3">
      <c r="A37" s="8" t="s">
        <v>90</v>
      </c>
      <c r="B37" s="1" t="s">
        <v>91</v>
      </c>
      <c r="C37" s="1" t="s">
        <v>23</v>
      </c>
      <c r="D37" s="2">
        <v>47</v>
      </c>
      <c r="E37" s="2">
        <v>23</v>
      </c>
      <c r="F37" s="2">
        <v>19</v>
      </c>
      <c r="G37" s="2">
        <v>64</v>
      </c>
      <c r="H37" s="2">
        <v>61</v>
      </c>
      <c r="I37" s="3">
        <f t="shared" si="0"/>
        <v>214</v>
      </c>
      <c r="J37" s="3">
        <v>500</v>
      </c>
      <c r="K37" s="4">
        <f t="shared" si="1"/>
        <v>0.42799999999999999</v>
      </c>
      <c r="L37" s="9">
        <f t="shared" si="2"/>
        <v>0.57200000000000006</v>
      </c>
    </row>
    <row r="38" spans="1:12" x14ac:dyDescent="0.3">
      <c r="A38" s="8" t="s">
        <v>92</v>
      </c>
      <c r="B38" s="1" t="s">
        <v>93</v>
      </c>
      <c r="C38" s="1" t="s">
        <v>26</v>
      </c>
      <c r="D38" s="2">
        <v>91</v>
      </c>
      <c r="E38" s="2">
        <v>13</v>
      </c>
      <c r="F38" s="2">
        <v>79</v>
      </c>
      <c r="G38" s="2">
        <v>85</v>
      </c>
      <c r="H38" s="2">
        <v>67</v>
      </c>
      <c r="I38" s="3">
        <f t="shared" si="0"/>
        <v>335</v>
      </c>
      <c r="J38" s="3">
        <v>500</v>
      </c>
      <c r="K38" s="4">
        <f t="shared" si="1"/>
        <v>0.67</v>
      </c>
      <c r="L38" s="9">
        <f t="shared" si="2"/>
        <v>0.32999999999999996</v>
      </c>
    </row>
    <row r="39" spans="1:12" x14ac:dyDescent="0.3">
      <c r="A39" s="8" t="s">
        <v>94</v>
      </c>
      <c r="B39" s="1" t="s">
        <v>95</v>
      </c>
      <c r="C39" s="1" t="s">
        <v>29</v>
      </c>
      <c r="D39" s="2">
        <v>66</v>
      </c>
      <c r="E39" s="2">
        <v>59</v>
      </c>
      <c r="F39" s="2">
        <v>25</v>
      </c>
      <c r="G39" s="2">
        <v>55</v>
      </c>
      <c r="H39" s="2">
        <v>59</v>
      </c>
      <c r="I39" s="3">
        <f t="shared" si="0"/>
        <v>264</v>
      </c>
      <c r="J39" s="3">
        <v>500</v>
      </c>
      <c r="K39" s="4">
        <f t="shared" si="1"/>
        <v>0.52800000000000002</v>
      </c>
      <c r="L39" s="9">
        <f t="shared" si="2"/>
        <v>0.47199999999999998</v>
      </c>
    </row>
    <row r="40" spans="1:12" x14ac:dyDescent="0.3">
      <c r="A40" s="8" t="s">
        <v>96</v>
      </c>
      <c r="B40" s="1" t="s">
        <v>97</v>
      </c>
      <c r="C40" s="1" t="s">
        <v>32</v>
      </c>
      <c r="D40" s="2">
        <v>70</v>
      </c>
      <c r="E40" s="2">
        <v>18</v>
      </c>
      <c r="F40" s="2">
        <v>88</v>
      </c>
      <c r="G40" s="2">
        <v>46</v>
      </c>
      <c r="H40" s="2">
        <v>52</v>
      </c>
      <c r="I40" s="3">
        <f t="shared" si="0"/>
        <v>274</v>
      </c>
      <c r="J40" s="3">
        <v>500</v>
      </c>
      <c r="K40" s="4">
        <f t="shared" si="1"/>
        <v>0.54800000000000004</v>
      </c>
      <c r="L40" s="9">
        <f t="shared" si="2"/>
        <v>0.45199999999999996</v>
      </c>
    </row>
    <row r="41" spans="1:12" x14ac:dyDescent="0.3">
      <c r="A41" s="8" t="s">
        <v>98</v>
      </c>
      <c r="B41" s="1" t="s">
        <v>99</v>
      </c>
      <c r="C41" s="1" t="s">
        <v>35</v>
      </c>
      <c r="D41" s="2">
        <v>37</v>
      </c>
      <c r="E41" s="2">
        <v>60</v>
      </c>
      <c r="F41" s="2">
        <v>44</v>
      </c>
      <c r="G41" s="2">
        <v>61</v>
      </c>
      <c r="H41" s="2">
        <v>30</v>
      </c>
      <c r="I41" s="3">
        <f t="shared" si="0"/>
        <v>232</v>
      </c>
      <c r="J41" s="3">
        <v>500</v>
      </c>
      <c r="K41" s="4">
        <f t="shared" si="1"/>
        <v>0.46400000000000002</v>
      </c>
      <c r="L41" s="9">
        <f t="shared" si="2"/>
        <v>0.53600000000000003</v>
      </c>
    </row>
    <row r="42" spans="1:12" x14ac:dyDescent="0.3">
      <c r="A42" s="8" t="s">
        <v>100</v>
      </c>
      <c r="B42" s="1" t="s">
        <v>101</v>
      </c>
      <c r="C42" s="1" t="s">
        <v>14</v>
      </c>
      <c r="D42" s="2">
        <v>16</v>
      </c>
      <c r="E42" s="2">
        <v>46</v>
      </c>
      <c r="F42" s="2">
        <v>33</v>
      </c>
      <c r="G42" s="2">
        <v>54</v>
      </c>
      <c r="H42" s="2">
        <v>58</v>
      </c>
      <c r="I42" s="3">
        <f t="shared" si="0"/>
        <v>207</v>
      </c>
      <c r="J42" s="3">
        <v>500</v>
      </c>
      <c r="K42" s="4">
        <f t="shared" si="1"/>
        <v>0.41399999999999998</v>
      </c>
      <c r="L42" s="9">
        <f t="shared" si="2"/>
        <v>0.58600000000000008</v>
      </c>
    </row>
    <row r="43" spans="1:12" x14ac:dyDescent="0.3">
      <c r="A43" s="8" t="s">
        <v>102</v>
      </c>
      <c r="B43" s="1" t="s">
        <v>103</v>
      </c>
      <c r="C43" s="1" t="s">
        <v>17</v>
      </c>
      <c r="D43" s="2">
        <v>47</v>
      </c>
      <c r="E43" s="2">
        <v>97</v>
      </c>
      <c r="F43" s="2">
        <v>74</v>
      </c>
      <c r="G43" s="2">
        <v>97</v>
      </c>
      <c r="H43" s="2">
        <v>56</v>
      </c>
      <c r="I43" s="3">
        <f t="shared" si="0"/>
        <v>371</v>
      </c>
      <c r="J43" s="3">
        <v>500</v>
      </c>
      <c r="K43" s="4">
        <f t="shared" si="1"/>
        <v>0.74199999999999999</v>
      </c>
      <c r="L43" s="9">
        <f t="shared" si="2"/>
        <v>0.25800000000000001</v>
      </c>
    </row>
    <row r="44" spans="1:12" x14ac:dyDescent="0.3">
      <c r="A44" s="8" t="s">
        <v>104</v>
      </c>
      <c r="B44" s="1" t="s">
        <v>105</v>
      </c>
      <c r="C44" s="1" t="s">
        <v>20</v>
      </c>
      <c r="D44" s="2">
        <v>86</v>
      </c>
      <c r="E44" s="2">
        <v>22</v>
      </c>
      <c r="F44" s="2">
        <v>10</v>
      </c>
      <c r="G44" s="2">
        <v>60</v>
      </c>
      <c r="H44" s="2">
        <v>28</v>
      </c>
      <c r="I44" s="3">
        <f t="shared" si="0"/>
        <v>206</v>
      </c>
      <c r="J44" s="3">
        <v>500</v>
      </c>
      <c r="K44" s="4">
        <f t="shared" si="1"/>
        <v>0.41199999999999998</v>
      </c>
      <c r="L44" s="9">
        <f t="shared" si="2"/>
        <v>0.58800000000000008</v>
      </c>
    </row>
    <row r="45" spans="1:12" x14ac:dyDescent="0.3">
      <c r="A45" s="8" t="s">
        <v>106</v>
      </c>
      <c r="B45" s="1" t="s">
        <v>107</v>
      </c>
      <c r="C45" s="1" t="s">
        <v>23</v>
      </c>
      <c r="D45" s="2">
        <v>74</v>
      </c>
      <c r="E45" s="2">
        <v>17</v>
      </c>
      <c r="F45" s="2">
        <v>45</v>
      </c>
      <c r="G45" s="2">
        <v>64</v>
      </c>
      <c r="H45" s="2">
        <v>13</v>
      </c>
      <c r="I45" s="3">
        <f t="shared" si="0"/>
        <v>213</v>
      </c>
      <c r="J45" s="3">
        <v>500</v>
      </c>
      <c r="K45" s="4">
        <f t="shared" si="1"/>
        <v>0.42599999999999999</v>
      </c>
      <c r="L45" s="9">
        <f t="shared" si="2"/>
        <v>0.57400000000000007</v>
      </c>
    </row>
    <row r="46" spans="1:12" x14ac:dyDescent="0.3">
      <c r="A46" s="8" t="s">
        <v>108</v>
      </c>
      <c r="B46" s="1" t="s">
        <v>109</v>
      </c>
      <c r="C46" s="1" t="s">
        <v>26</v>
      </c>
      <c r="D46" s="2">
        <v>80</v>
      </c>
      <c r="E46" s="2">
        <v>51</v>
      </c>
      <c r="F46" s="2">
        <v>15</v>
      </c>
      <c r="G46" s="2">
        <v>97</v>
      </c>
      <c r="H46" s="2">
        <v>42</v>
      </c>
      <c r="I46" s="3">
        <f t="shared" si="0"/>
        <v>285</v>
      </c>
      <c r="J46" s="3">
        <v>500</v>
      </c>
      <c r="K46" s="4">
        <f t="shared" si="1"/>
        <v>0.56999999999999995</v>
      </c>
      <c r="L46" s="9">
        <f t="shared" si="2"/>
        <v>0.43000000000000005</v>
      </c>
    </row>
    <row r="47" spans="1:12" x14ac:dyDescent="0.3">
      <c r="A47" s="8" t="s">
        <v>110</v>
      </c>
      <c r="B47" s="1" t="s">
        <v>111</v>
      </c>
      <c r="C47" s="1" t="s">
        <v>29</v>
      </c>
      <c r="D47" s="2">
        <v>49</v>
      </c>
      <c r="E47" s="2">
        <v>82</v>
      </c>
      <c r="F47" s="2">
        <v>95</v>
      </c>
      <c r="G47" s="2">
        <v>46</v>
      </c>
      <c r="H47" s="2">
        <v>78</v>
      </c>
      <c r="I47" s="3">
        <f t="shared" si="0"/>
        <v>350</v>
      </c>
      <c r="J47" s="3">
        <v>500</v>
      </c>
      <c r="K47" s="4">
        <f t="shared" si="1"/>
        <v>0.7</v>
      </c>
      <c r="L47" s="9">
        <f t="shared" si="2"/>
        <v>0.30000000000000004</v>
      </c>
    </row>
    <row r="48" spans="1:12" x14ac:dyDescent="0.3">
      <c r="A48" s="8" t="s">
        <v>112</v>
      </c>
      <c r="B48" s="1" t="s">
        <v>113</v>
      </c>
      <c r="C48" s="1" t="s">
        <v>32</v>
      </c>
      <c r="D48" s="2">
        <v>17</v>
      </c>
      <c r="E48" s="2">
        <v>88</v>
      </c>
      <c r="F48" s="2">
        <v>12</v>
      </c>
      <c r="G48" s="2">
        <v>54</v>
      </c>
      <c r="H48" s="2">
        <v>21</v>
      </c>
      <c r="I48" s="3">
        <f t="shared" si="0"/>
        <v>192</v>
      </c>
      <c r="J48" s="3">
        <v>500</v>
      </c>
      <c r="K48" s="4">
        <f t="shared" si="1"/>
        <v>0.38400000000000001</v>
      </c>
      <c r="L48" s="9">
        <f t="shared" si="2"/>
        <v>0.61599999999999999</v>
      </c>
    </row>
    <row r="49" spans="1:12" x14ac:dyDescent="0.3">
      <c r="A49" s="8" t="s">
        <v>114</v>
      </c>
      <c r="B49" s="1" t="s">
        <v>115</v>
      </c>
      <c r="C49" s="1" t="s">
        <v>35</v>
      </c>
      <c r="D49" s="2">
        <v>74</v>
      </c>
      <c r="E49" s="2">
        <v>16</v>
      </c>
      <c r="F49" s="2">
        <v>74</v>
      </c>
      <c r="G49" s="2">
        <v>36</v>
      </c>
      <c r="H49" s="2">
        <v>33</v>
      </c>
      <c r="I49" s="3">
        <f t="shared" si="0"/>
        <v>233</v>
      </c>
      <c r="J49" s="3">
        <v>500</v>
      </c>
      <c r="K49" s="4">
        <f t="shared" si="1"/>
        <v>0.46600000000000003</v>
      </c>
      <c r="L49" s="9">
        <f t="shared" si="2"/>
        <v>0.53400000000000003</v>
      </c>
    </row>
    <row r="50" spans="1:12" x14ac:dyDescent="0.3">
      <c r="A50" s="8" t="s">
        <v>116</v>
      </c>
      <c r="B50" s="1" t="s">
        <v>117</v>
      </c>
      <c r="C50" s="1" t="s">
        <v>14</v>
      </c>
      <c r="D50" s="2">
        <v>73</v>
      </c>
      <c r="E50" s="2">
        <v>72</v>
      </c>
      <c r="F50" s="2">
        <v>38</v>
      </c>
      <c r="G50" s="2">
        <v>19</v>
      </c>
      <c r="H50" s="2">
        <v>90</v>
      </c>
      <c r="I50" s="3">
        <f t="shared" si="0"/>
        <v>292</v>
      </c>
      <c r="J50" s="3">
        <v>500</v>
      </c>
      <c r="K50" s="4">
        <f t="shared" si="1"/>
        <v>0.58399999999999996</v>
      </c>
      <c r="L50" s="9">
        <f t="shared" si="2"/>
        <v>0.41600000000000004</v>
      </c>
    </row>
    <row r="51" spans="1:12" x14ac:dyDescent="0.3">
      <c r="A51" s="8" t="s">
        <v>118</v>
      </c>
      <c r="B51" s="1" t="s">
        <v>119</v>
      </c>
      <c r="C51" s="1" t="s">
        <v>17</v>
      </c>
      <c r="D51" s="2">
        <v>17</v>
      </c>
      <c r="E51" s="2">
        <v>84</v>
      </c>
      <c r="F51" s="2">
        <v>90</v>
      </c>
      <c r="G51" s="2">
        <v>77</v>
      </c>
      <c r="H51" s="2">
        <v>72</v>
      </c>
      <c r="I51" s="3">
        <f t="shared" si="0"/>
        <v>340</v>
      </c>
      <c r="J51" s="3">
        <v>500</v>
      </c>
      <c r="K51" s="4">
        <f t="shared" si="1"/>
        <v>0.68</v>
      </c>
      <c r="L51" s="9">
        <f t="shared" si="2"/>
        <v>0.31999999999999995</v>
      </c>
    </row>
    <row r="52" spans="1:12" x14ac:dyDescent="0.3">
      <c r="A52" s="8" t="s">
        <v>120</v>
      </c>
      <c r="B52" s="1" t="s">
        <v>121</v>
      </c>
      <c r="C52" s="1" t="s">
        <v>20</v>
      </c>
      <c r="D52" s="2">
        <v>52</v>
      </c>
      <c r="E52" s="2">
        <v>36</v>
      </c>
      <c r="F52" s="2">
        <v>84</v>
      </c>
      <c r="G52" s="2">
        <v>41</v>
      </c>
      <c r="H52" s="2">
        <v>57</v>
      </c>
      <c r="I52" s="3">
        <f t="shared" si="0"/>
        <v>270</v>
      </c>
      <c r="J52" s="3">
        <v>500</v>
      </c>
      <c r="K52" s="4">
        <f t="shared" si="1"/>
        <v>0.54</v>
      </c>
      <c r="L52" s="9">
        <f t="shared" si="2"/>
        <v>0.45999999999999996</v>
      </c>
    </row>
    <row r="53" spans="1:12" x14ac:dyDescent="0.3">
      <c r="A53" s="8" t="s">
        <v>122</v>
      </c>
      <c r="B53" s="1" t="s">
        <v>123</v>
      </c>
      <c r="C53" s="1" t="s">
        <v>23</v>
      </c>
      <c r="D53" s="2">
        <v>65</v>
      </c>
      <c r="E53" s="2">
        <v>67</v>
      </c>
      <c r="F53" s="2">
        <v>72</v>
      </c>
      <c r="G53" s="2">
        <v>22</v>
      </c>
      <c r="H53" s="2">
        <v>23</v>
      </c>
      <c r="I53" s="3">
        <f t="shared" si="0"/>
        <v>249</v>
      </c>
      <c r="J53" s="3">
        <v>500</v>
      </c>
      <c r="K53" s="4">
        <f t="shared" si="1"/>
        <v>0.498</v>
      </c>
      <c r="L53" s="9">
        <f t="shared" si="2"/>
        <v>0.502</v>
      </c>
    </row>
    <row r="54" spans="1:12" x14ac:dyDescent="0.3">
      <c r="A54" s="8" t="s">
        <v>124</v>
      </c>
      <c r="B54" s="1" t="s">
        <v>125</v>
      </c>
      <c r="C54" s="1" t="s">
        <v>26</v>
      </c>
      <c r="D54" s="2">
        <v>88</v>
      </c>
      <c r="E54" s="2">
        <v>39</v>
      </c>
      <c r="F54" s="2">
        <v>25</v>
      </c>
      <c r="G54" s="2">
        <v>99</v>
      </c>
      <c r="H54" s="2">
        <v>71</v>
      </c>
      <c r="I54" s="3">
        <f t="shared" si="0"/>
        <v>322</v>
      </c>
      <c r="J54" s="3">
        <v>500</v>
      </c>
      <c r="K54" s="4">
        <f t="shared" si="1"/>
        <v>0.64400000000000002</v>
      </c>
      <c r="L54" s="9">
        <f t="shared" si="2"/>
        <v>0.35599999999999998</v>
      </c>
    </row>
    <row r="55" spans="1:12" x14ac:dyDescent="0.3">
      <c r="A55" s="8" t="s">
        <v>126</v>
      </c>
      <c r="B55" s="1" t="s">
        <v>127</v>
      </c>
      <c r="C55" s="1" t="s">
        <v>29</v>
      </c>
      <c r="D55" s="2">
        <v>23</v>
      </c>
      <c r="E55" s="2">
        <v>14</v>
      </c>
      <c r="F55" s="2">
        <v>15</v>
      </c>
      <c r="G55" s="2">
        <v>58</v>
      </c>
      <c r="H55" s="2">
        <v>79</v>
      </c>
      <c r="I55" s="3">
        <f t="shared" si="0"/>
        <v>189</v>
      </c>
      <c r="J55" s="3">
        <v>500</v>
      </c>
      <c r="K55" s="4">
        <f t="shared" si="1"/>
        <v>0.378</v>
      </c>
      <c r="L55" s="9">
        <f t="shared" si="2"/>
        <v>0.622</v>
      </c>
    </row>
    <row r="56" spans="1:12" x14ac:dyDescent="0.3">
      <c r="A56" s="8" t="s">
        <v>128</v>
      </c>
      <c r="B56" s="1" t="s">
        <v>129</v>
      </c>
      <c r="C56" s="1" t="s">
        <v>32</v>
      </c>
      <c r="D56" s="2">
        <v>15</v>
      </c>
      <c r="E56" s="2">
        <v>67</v>
      </c>
      <c r="F56" s="2">
        <v>48</v>
      </c>
      <c r="G56" s="2">
        <v>95</v>
      </c>
      <c r="H56" s="2">
        <v>35</v>
      </c>
      <c r="I56" s="3">
        <f t="shared" si="0"/>
        <v>260</v>
      </c>
      <c r="J56" s="3">
        <v>500</v>
      </c>
      <c r="K56" s="4">
        <f t="shared" si="1"/>
        <v>0.52</v>
      </c>
      <c r="L56" s="9">
        <f t="shared" si="2"/>
        <v>0.48</v>
      </c>
    </row>
    <row r="57" spans="1:12" x14ac:dyDescent="0.3">
      <c r="A57" s="8" t="s">
        <v>130</v>
      </c>
      <c r="B57" s="1" t="s">
        <v>131</v>
      </c>
      <c r="C57" s="1" t="s">
        <v>35</v>
      </c>
      <c r="D57" s="2">
        <v>18</v>
      </c>
      <c r="E57" s="2">
        <v>35</v>
      </c>
      <c r="F57" s="2">
        <v>82</v>
      </c>
      <c r="G57" s="2">
        <v>31</v>
      </c>
      <c r="H57" s="2">
        <v>26</v>
      </c>
      <c r="I57" s="3">
        <f t="shared" si="0"/>
        <v>192</v>
      </c>
      <c r="J57" s="3">
        <v>500</v>
      </c>
      <c r="K57" s="4">
        <f t="shared" si="1"/>
        <v>0.38400000000000001</v>
      </c>
      <c r="L57" s="9">
        <f t="shared" si="2"/>
        <v>0.61599999999999999</v>
      </c>
    </row>
    <row r="58" spans="1:12" x14ac:dyDescent="0.3">
      <c r="A58" s="8" t="s">
        <v>132</v>
      </c>
      <c r="B58" s="1" t="s">
        <v>133</v>
      </c>
      <c r="C58" s="1" t="s">
        <v>14</v>
      </c>
      <c r="D58" s="2">
        <v>57</v>
      </c>
      <c r="E58" s="2">
        <v>60</v>
      </c>
      <c r="F58" s="2">
        <v>42</v>
      </c>
      <c r="G58" s="2">
        <v>81</v>
      </c>
      <c r="H58" s="2">
        <v>44</v>
      </c>
      <c r="I58" s="3">
        <f t="shared" si="0"/>
        <v>284</v>
      </c>
      <c r="J58" s="3">
        <v>500</v>
      </c>
      <c r="K58" s="4">
        <f t="shared" si="1"/>
        <v>0.56799999999999995</v>
      </c>
      <c r="L58" s="9">
        <f t="shared" si="2"/>
        <v>0.43200000000000005</v>
      </c>
    </row>
    <row r="59" spans="1:12" x14ac:dyDescent="0.3">
      <c r="A59" s="8" t="s">
        <v>134</v>
      </c>
      <c r="B59" s="1" t="s">
        <v>135</v>
      </c>
      <c r="C59" s="1" t="s">
        <v>17</v>
      </c>
      <c r="D59" s="2">
        <v>34</v>
      </c>
      <c r="E59" s="2">
        <v>97</v>
      </c>
      <c r="F59" s="2">
        <v>66</v>
      </c>
      <c r="G59" s="2">
        <v>45</v>
      </c>
      <c r="H59" s="2">
        <v>50</v>
      </c>
      <c r="I59" s="3">
        <f t="shared" si="0"/>
        <v>292</v>
      </c>
      <c r="J59" s="3">
        <v>500</v>
      </c>
      <c r="K59" s="4">
        <f t="shared" si="1"/>
        <v>0.58399999999999996</v>
      </c>
      <c r="L59" s="9">
        <f t="shared" si="2"/>
        <v>0.41600000000000004</v>
      </c>
    </row>
    <row r="60" spans="1:12" x14ac:dyDescent="0.3">
      <c r="A60" s="8" t="s">
        <v>136</v>
      </c>
      <c r="B60" s="1" t="s">
        <v>137</v>
      </c>
      <c r="C60" s="1" t="s">
        <v>20</v>
      </c>
      <c r="D60" s="2">
        <v>83</v>
      </c>
      <c r="E60" s="2">
        <v>12</v>
      </c>
      <c r="F60" s="2">
        <v>70</v>
      </c>
      <c r="G60" s="2">
        <v>83</v>
      </c>
      <c r="H60" s="2">
        <v>52</v>
      </c>
      <c r="I60" s="3">
        <f t="shared" si="0"/>
        <v>300</v>
      </c>
      <c r="J60" s="3">
        <v>500</v>
      </c>
      <c r="K60" s="4">
        <f t="shared" si="1"/>
        <v>0.6</v>
      </c>
      <c r="L60" s="9">
        <f t="shared" si="2"/>
        <v>0.4</v>
      </c>
    </row>
    <row r="61" spans="1:12" x14ac:dyDescent="0.3">
      <c r="A61" s="8" t="s">
        <v>138</v>
      </c>
      <c r="B61" s="1" t="s">
        <v>139</v>
      </c>
      <c r="C61" s="1" t="s">
        <v>23</v>
      </c>
      <c r="D61" s="2">
        <v>76</v>
      </c>
      <c r="E61" s="2">
        <v>55</v>
      </c>
      <c r="F61" s="2">
        <v>56</v>
      </c>
      <c r="G61" s="2">
        <v>16</v>
      </c>
      <c r="H61" s="2">
        <v>61</v>
      </c>
      <c r="I61" s="3">
        <f t="shared" si="0"/>
        <v>264</v>
      </c>
      <c r="J61" s="3">
        <v>500</v>
      </c>
      <c r="K61" s="4">
        <f t="shared" si="1"/>
        <v>0.52800000000000002</v>
      </c>
      <c r="L61" s="9">
        <f t="shared" si="2"/>
        <v>0.47199999999999998</v>
      </c>
    </row>
    <row r="62" spans="1:12" x14ac:dyDescent="0.3">
      <c r="A62" s="8" t="s">
        <v>140</v>
      </c>
      <c r="B62" s="1" t="s">
        <v>141</v>
      </c>
      <c r="C62" s="1" t="s">
        <v>26</v>
      </c>
      <c r="D62" s="2">
        <v>40</v>
      </c>
      <c r="E62" s="2">
        <v>70</v>
      </c>
      <c r="F62" s="2">
        <v>19</v>
      </c>
      <c r="G62" s="2">
        <v>36</v>
      </c>
      <c r="H62" s="2">
        <v>52</v>
      </c>
      <c r="I62" s="3">
        <f t="shared" si="0"/>
        <v>217</v>
      </c>
      <c r="J62" s="3">
        <v>500</v>
      </c>
      <c r="K62" s="4">
        <f t="shared" si="1"/>
        <v>0.434</v>
      </c>
      <c r="L62" s="9">
        <f t="shared" si="2"/>
        <v>0.56600000000000006</v>
      </c>
    </row>
    <row r="63" spans="1:12" x14ac:dyDescent="0.3">
      <c r="A63" s="8" t="s">
        <v>142</v>
      </c>
      <c r="B63" s="1" t="s">
        <v>143</v>
      </c>
      <c r="C63" s="1" t="s">
        <v>29</v>
      </c>
      <c r="D63" s="2">
        <v>44</v>
      </c>
      <c r="E63" s="2">
        <v>60</v>
      </c>
      <c r="F63" s="2">
        <v>71</v>
      </c>
      <c r="G63" s="2">
        <v>34</v>
      </c>
      <c r="H63" s="2">
        <v>37</v>
      </c>
      <c r="I63" s="3">
        <f t="shared" si="0"/>
        <v>246</v>
      </c>
      <c r="J63" s="3">
        <v>500</v>
      </c>
      <c r="K63" s="4">
        <f t="shared" si="1"/>
        <v>0.49199999999999999</v>
      </c>
      <c r="L63" s="9">
        <f t="shared" si="2"/>
        <v>0.50800000000000001</v>
      </c>
    </row>
    <row r="64" spans="1:12" x14ac:dyDescent="0.3">
      <c r="A64" s="8" t="s">
        <v>144</v>
      </c>
      <c r="B64" s="1" t="s">
        <v>145</v>
      </c>
      <c r="C64" s="1" t="s">
        <v>32</v>
      </c>
      <c r="D64" s="2">
        <v>43</v>
      </c>
      <c r="E64" s="2">
        <v>78</v>
      </c>
      <c r="F64" s="2">
        <v>15</v>
      </c>
      <c r="G64" s="2">
        <v>98</v>
      </c>
      <c r="H64" s="2">
        <v>33</v>
      </c>
      <c r="I64" s="3">
        <f t="shared" si="0"/>
        <v>267</v>
      </c>
      <c r="J64" s="3">
        <v>500</v>
      </c>
      <c r="K64" s="4">
        <f t="shared" si="1"/>
        <v>0.53400000000000003</v>
      </c>
      <c r="L64" s="9">
        <f t="shared" si="2"/>
        <v>0.46599999999999997</v>
      </c>
    </row>
    <row r="65" spans="1:12" x14ac:dyDescent="0.3">
      <c r="A65" s="8" t="s">
        <v>146</v>
      </c>
      <c r="B65" s="1" t="s">
        <v>147</v>
      </c>
      <c r="C65" s="1" t="s">
        <v>35</v>
      </c>
      <c r="D65" s="2">
        <v>75</v>
      </c>
      <c r="E65" s="2">
        <v>75</v>
      </c>
      <c r="F65" s="2">
        <v>89</v>
      </c>
      <c r="G65" s="2">
        <v>97</v>
      </c>
      <c r="H65" s="2">
        <v>49</v>
      </c>
      <c r="I65" s="3">
        <f t="shared" si="0"/>
        <v>385</v>
      </c>
      <c r="J65" s="3">
        <v>500</v>
      </c>
      <c r="K65" s="4">
        <f t="shared" si="1"/>
        <v>0.77</v>
      </c>
      <c r="L65" s="9">
        <f t="shared" si="2"/>
        <v>0.22999999999999998</v>
      </c>
    </row>
    <row r="66" spans="1:12" x14ac:dyDescent="0.3">
      <c r="A66" s="8" t="s">
        <v>148</v>
      </c>
      <c r="B66" s="1" t="s">
        <v>149</v>
      </c>
      <c r="C66" s="1" t="s">
        <v>14</v>
      </c>
      <c r="D66" s="2">
        <v>74</v>
      </c>
      <c r="E66" s="2">
        <v>51</v>
      </c>
      <c r="F66" s="2">
        <v>97</v>
      </c>
      <c r="G66" s="2">
        <v>73</v>
      </c>
      <c r="H66" s="2">
        <v>33</v>
      </c>
      <c r="I66" s="3">
        <f t="shared" si="0"/>
        <v>328</v>
      </c>
      <c r="J66" s="3">
        <v>500</v>
      </c>
      <c r="K66" s="4">
        <f t="shared" si="1"/>
        <v>0.65600000000000003</v>
      </c>
      <c r="L66" s="9">
        <f t="shared" si="2"/>
        <v>0.34399999999999997</v>
      </c>
    </row>
    <row r="67" spans="1:12" x14ac:dyDescent="0.3">
      <c r="A67" s="8" t="s">
        <v>150</v>
      </c>
      <c r="B67" s="1" t="s">
        <v>151</v>
      </c>
      <c r="C67" s="1" t="s">
        <v>17</v>
      </c>
      <c r="D67" s="2">
        <v>44</v>
      </c>
      <c r="E67" s="2">
        <v>36</v>
      </c>
      <c r="F67" s="2">
        <v>11</v>
      </c>
      <c r="G67" s="2">
        <v>45</v>
      </c>
      <c r="H67" s="2">
        <v>30</v>
      </c>
      <c r="I67" s="3">
        <f t="shared" ref="I67:I130" si="3">SUM(D67:H67)</f>
        <v>166</v>
      </c>
      <c r="J67" s="3">
        <v>500</v>
      </c>
      <c r="K67" s="4">
        <f t="shared" ref="K67:K130" si="4">I67/J67</f>
        <v>0.33200000000000002</v>
      </c>
      <c r="L67" s="9">
        <f t="shared" ref="L67:L130" si="5">100%-K67</f>
        <v>0.66799999999999993</v>
      </c>
    </row>
    <row r="68" spans="1:12" x14ac:dyDescent="0.3">
      <c r="A68" s="8" t="s">
        <v>152</v>
      </c>
      <c r="B68" s="1" t="s">
        <v>153</v>
      </c>
      <c r="C68" s="1" t="s">
        <v>20</v>
      </c>
      <c r="D68" s="2">
        <v>87</v>
      </c>
      <c r="E68" s="2">
        <v>79</v>
      </c>
      <c r="F68" s="2">
        <v>46</v>
      </c>
      <c r="G68" s="2">
        <v>65</v>
      </c>
      <c r="H68" s="2">
        <v>65</v>
      </c>
      <c r="I68" s="3">
        <f t="shared" si="3"/>
        <v>342</v>
      </c>
      <c r="J68" s="3">
        <v>500</v>
      </c>
      <c r="K68" s="4">
        <f t="shared" si="4"/>
        <v>0.68400000000000005</v>
      </c>
      <c r="L68" s="9">
        <f t="shared" si="5"/>
        <v>0.31599999999999995</v>
      </c>
    </row>
    <row r="69" spans="1:12" x14ac:dyDescent="0.3">
      <c r="A69" s="8" t="s">
        <v>154</v>
      </c>
      <c r="B69" s="1" t="s">
        <v>155</v>
      </c>
      <c r="C69" s="1" t="s">
        <v>23</v>
      </c>
      <c r="D69" s="2">
        <v>70</v>
      </c>
      <c r="E69" s="2">
        <v>52</v>
      </c>
      <c r="F69" s="2">
        <v>80</v>
      </c>
      <c r="G69" s="2">
        <v>43</v>
      </c>
      <c r="H69" s="2">
        <v>48</v>
      </c>
      <c r="I69" s="3">
        <f t="shared" si="3"/>
        <v>293</v>
      </c>
      <c r="J69" s="3">
        <v>500</v>
      </c>
      <c r="K69" s="4">
        <f t="shared" si="4"/>
        <v>0.58599999999999997</v>
      </c>
      <c r="L69" s="9">
        <f t="shared" si="5"/>
        <v>0.41400000000000003</v>
      </c>
    </row>
    <row r="70" spans="1:12" x14ac:dyDescent="0.3">
      <c r="A70" s="8" t="s">
        <v>156</v>
      </c>
      <c r="B70" s="1" t="s">
        <v>157</v>
      </c>
      <c r="C70" s="1" t="s">
        <v>26</v>
      </c>
      <c r="D70" s="2">
        <v>45</v>
      </c>
      <c r="E70" s="2">
        <v>26</v>
      </c>
      <c r="F70" s="2">
        <v>27</v>
      </c>
      <c r="G70" s="2">
        <v>14</v>
      </c>
      <c r="H70" s="2">
        <v>59</v>
      </c>
      <c r="I70" s="3">
        <f t="shared" si="3"/>
        <v>171</v>
      </c>
      <c r="J70" s="3">
        <v>500</v>
      </c>
      <c r="K70" s="4">
        <f t="shared" si="4"/>
        <v>0.34200000000000003</v>
      </c>
      <c r="L70" s="9">
        <f t="shared" si="5"/>
        <v>0.65799999999999992</v>
      </c>
    </row>
    <row r="71" spans="1:12" x14ac:dyDescent="0.3">
      <c r="A71" s="8" t="s">
        <v>158</v>
      </c>
      <c r="B71" s="1" t="s">
        <v>159</v>
      </c>
      <c r="C71" s="1" t="s">
        <v>29</v>
      </c>
      <c r="D71" s="2">
        <v>51</v>
      </c>
      <c r="E71" s="2">
        <v>26</v>
      </c>
      <c r="F71" s="2">
        <v>58</v>
      </c>
      <c r="G71" s="2">
        <v>83</v>
      </c>
      <c r="H71" s="2">
        <v>11</v>
      </c>
      <c r="I71" s="3">
        <f t="shared" si="3"/>
        <v>229</v>
      </c>
      <c r="J71" s="3">
        <v>500</v>
      </c>
      <c r="K71" s="4">
        <f t="shared" si="4"/>
        <v>0.45800000000000002</v>
      </c>
      <c r="L71" s="9">
        <f t="shared" si="5"/>
        <v>0.54200000000000004</v>
      </c>
    </row>
    <row r="72" spans="1:12" x14ac:dyDescent="0.3">
      <c r="A72" s="8" t="s">
        <v>160</v>
      </c>
      <c r="B72" s="1" t="s">
        <v>161</v>
      </c>
      <c r="C72" s="1" t="s">
        <v>32</v>
      </c>
      <c r="D72" s="2">
        <v>68</v>
      </c>
      <c r="E72" s="2">
        <v>36</v>
      </c>
      <c r="F72" s="2">
        <v>15</v>
      </c>
      <c r="G72" s="2">
        <v>20</v>
      </c>
      <c r="H72" s="2">
        <v>17</v>
      </c>
      <c r="I72" s="3">
        <f t="shared" si="3"/>
        <v>156</v>
      </c>
      <c r="J72" s="3">
        <v>500</v>
      </c>
      <c r="K72" s="4">
        <f t="shared" si="4"/>
        <v>0.312</v>
      </c>
      <c r="L72" s="9">
        <f t="shared" si="5"/>
        <v>0.68799999999999994</v>
      </c>
    </row>
    <row r="73" spans="1:12" x14ac:dyDescent="0.3">
      <c r="A73" s="8" t="s">
        <v>162</v>
      </c>
      <c r="B73" s="1" t="s">
        <v>163</v>
      </c>
      <c r="C73" s="1" t="s">
        <v>35</v>
      </c>
      <c r="D73" s="2">
        <v>32</v>
      </c>
      <c r="E73" s="2">
        <v>74</v>
      </c>
      <c r="F73" s="2">
        <v>18</v>
      </c>
      <c r="G73" s="2">
        <v>33</v>
      </c>
      <c r="H73" s="2">
        <v>51</v>
      </c>
      <c r="I73" s="3">
        <f t="shared" si="3"/>
        <v>208</v>
      </c>
      <c r="J73" s="3">
        <v>500</v>
      </c>
      <c r="K73" s="4">
        <f t="shared" si="4"/>
        <v>0.41599999999999998</v>
      </c>
      <c r="L73" s="9">
        <f t="shared" si="5"/>
        <v>0.58400000000000007</v>
      </c>
    </row>
    <row r="74" spans="1:12" x14ac:dyDescent="0.3">
      <c r="A74" s="8" t="s">
        <v>164</v>
      </c>
      <c r="B74" s="1" t="s">
        <v>165</v>
      </c>
      <c r="C74" s="1" t="s">
        <v>14</v>
      </c>
      <c r="D74" s="2">
        <v>41</v>
      </c>
      <c r="E74" s="2">
        <v>11</v>
      </c>
      <c r="F74" s="2">
        <v>46</v>
      </c>
      <c r="G74" s="2">
        <v>35</v>
      </c>
      <c r="H74" s="2">
        <v>10</v>
      </c>
      <c r="I74" s="3">
        <f t="shared" si="3"/>
        <v>143</v>
      </c>
      <c r="J74" s="3">
        <v>500</v>
      </c>
      <c r="K74" s="4">
        <f t="shared" si="4"/>
        <v>0.28599999999999998</v>
      </c>
      <c r="L74" s="9">
        <f t="shared" si="5"/>
        <v>0.71399999999999997</v>
      </c>
    </row>
    <row r="75" spans="1:12" x14ac:dyDescent="0.3">
      <c r="A75" s="8" t="s">
        <v>166</v>
      </c>
      <c r="B75" s="1" t="s">
        <v>167</v>
      </c>
      <c r="C75" s="1" t="s">
        <v>17</v>
      </c>
      <c r="D75" s="2">
        <v>41</v>
      </c>
      <c r="E75" s="2">
        <v>17</v>
      </c>
      <c r="F75" s="2">
        <v>82</v>
      </c>
      <c r="G75" s="2">
        <v>75</v>
      </c>
      <c r="H75" s="2">
        <v>39</v>
      </c>
      <c r="I75" s="3">
        <f t="shared" si="3"/>
        <v>254</v>
      </c>
      <c r="J75" s="3">
        <v>500</v>
      </c>
      <c r="K75" s="4">
        <f t="shared" si="4"/>
        <v>0.50800000000000001</v>
      </c>
      <c r="L75" s="9">
        <f t="shared" si="5"/>
        <v>0.49199999999999999</v>
      </c>
    </row>
    <row r="76" spans="1:12" x14ac:dyDescent="0.3">
      <c r="A76" s="8" t="s">
        <v>168</v>
      </c>
      <c r="B76" s="1" t="s">
        <v>169</v>
      </c>
      <c r="C76" s="1" t="s">
        <v>20</v>
      </c>
      <c r="D76" s="2">
        <v>12</v>
      </c>
      <c r="E76" s="2">
        <v>97</v>
      </c>
      <c r="F76" s="2">
        <v>45</v>
      </c>
      <c r="G76" s="2">
        <v>29</v>
      </c>
      <c r="H76" s="2">
        <v>41</v>
      </c>
      <c r="I76" s="3">
        <f t="shared" si="3"/>
        <v>224</v>
      </c>
      <c r="J76" s="3">
        <v>500</v>
      </c>
      <c r="K76" s="4">
        <f t="shared" si="4"/>
        <v>0.44800000000000001</v>
      </c>
      <c r="L76" s="9">
        <f t="shared" si="5"/>
        <v>0.55200000000000005</v>
      </c>
    </row>
    <row r="77" spans="1:12" x14ac:dyDescent="0.3">
      <c r="A77" s="8" t="s">
        <v>170</v>
      </c>
      <c r="B77" s="1" t="s">
        <v>171</v>
      </c>
      <c r="C77" s="1" t="s">
        <v>23</v>
      </c>
      <c r="D77" s="2">
        <v>19</v>
      </c>
      <c r="E77" s="2">
        <v>72</v>
      </c>
      <c r="F77" s="2">
        <v>87</v>
      </c>
      <c r="G77" s="2">
        <v>82</v>
      </c>
      <c r="H77" s="2">
        <v>27</v>
      </c>
      <c r="I77" s="3">
        <f t="shared" si="3"/>
        <v>287</v>
      </c>
      <c r="J77" s="3">
        <v>500</v>
      </c>
      <c r="K77" s="4">
        <f t="shared" si="4"/>
        <v>0.57399999999999995</v>
      </c>
      <c r="L77" s="9">
        <f t="shared" si="5"/>
        <v>0.42600000000000005</v>
      </c>
    </row>
    <row r="78" spans="1:12" x14ac:dyDescent="0.3">
      <c r="A78" s="8" t="s">
        <v>172</v>
      </c>
      <c r="B78" s="1" t="s">
        <v>173</v>
      </c>
      <c r="C78" s="1" t="s">
        <v>26</v>
      </c>
      <c r="D78" s="2">
        <v>98</v>
      </c>
      <c r="E78" s="2">
        <v>15</v>
      </c>
      <c r="F78" s="2">
        <v>72</v>
      </c>
      <c r="G78" s="2">
        <v>67</v>
      </c>
      <c r="H78" s="2">
        <v>34</v>
      </c>
      <c r="I78" s="3">
        <f t="shared" si="3"/>
        <v>286</v>
      </c>
      <c r="J78" s="3">
        <v>500</v>
      </c>
      <c r="K78" s="4">
        <f t="shared" si="4"/>
        <v>0.57199999999999995</v>
      </c>
      <c r="L78" s="9">
        <f t="shared" si="5"/>
        <v>0.42800000000000005</v>
      </c>
    </row>
    <row r="79" spans="1:12" x14ac:dyDescent="0.3">
      <c r="A79" s="8" t="s">
        <v>174</v>
      </c>
      <c r="B79" s="1" t="s">
        <v>175</v>
      </c>
      <c r="C79" s="1" t="s">
        <v>29</v>
      </c>
      <c r="D79" s="2">
        <v>50</v>
      </c>
      <c r="E79" s="2">
        <v>44</v>
      </c>
      <c r="F79" s="2">
        <v>46</v>
      </c>
      <c r="G79" s="2">
        <v>13</v>
      </c>
      <c r="H79" s="2">
        <v>92</v>
      </c>
      <c r="I79" s="3">
        <f t="shared" si="3"/>
        <v>245</v>
      </c>
      <c r="J79" s="3">
        <v>500</v>
      </c>
      <c r="K79" s="4">
        <f t="shared" si="4"/>
        <v>0.49</v>
      </c>
      <c r="L79" s="9">
        <f t="shared" si="5"/>
        <v>0.51</v>
      </c>
    </row>
    <row r="80" spans="1:12" x14ac:dyDescent="0.3">
      <c r="A80" s="8" t="s">
        <v>176</v>
      </c>
      <c r="B80" s="1" t="s">
        <v>177</v>
      </c>
      <c r="C80" s="1" t="s">
        <v>32</v>
      </c>
      <c r="D80" s="2">
        <v>40</v>
      </c>
      <c r="E80" s="2">
        <v>82</v>
      </c>
      <c r="F80" s="2">
        <v>72</v>
      </c>
      <c r="G80" s="2">
        <v>42</v>
      </c>
      <c r="H80" s="2">
        <v>45</v>
      </c>
      <c r="I80" s="3">
        <f t="shared" si="3"/>
        <v>281</v>
      </c>
      <c r="J80" s="3">
        <v>500</v>
      </c>
      <c r="K80" s="4">
        <f t="shared" si="4"/>
        <v>0.56200000000000006</v>
      </c>
      <c r="L80" s="9">
        <f t="shared" si="5"/>
        <v>0.43799999999999994</v>
      </c>
    </row>
    <row r="81" spans="1:12" x14ac:dyDescent="0.3">
      <c r="A81" s="8" t="s">
        <v>178</v>
      </c>
      <c r="B81" s="1" t="s">
        <v>179</v>
      </c>
      <c r="C81" s="1" t="s">
        <v>35</v>
      </c>
      <c r="D81" s="2">
        <v>23</v>
      </c>
      <c r="E81" s="2">
        <v>83</v>
      </c>
      <c r="F81" s="2">
        <v>63</v>
      </c>
      <c r="G81" s="2">
        <v>65</v>
      </c>
      <c r="H81" s="2">
        <v>83</v>
      </c>
      <c r="I81" s="3">
        <f t="shared" si="3"/>
        <v>317</v>
      </c>
      <c r="J81" s="3">
        <v>500</v>
      </c>
      <c r="K81" s="4">
        <f t="shared" si="4"/>
        <v>0.63400000000000001</v>
      </c>
      <c r="L81" s="9">
        <f t="shared" si="5"/>
        <v>0.36599999999999999</v>
      </c>
    </row>
    <row r="82" spans="1:12" x14ac:dyDescent="0.3">
      <c r="A82" s="8" t="s">
        <v>180</v>
      </c>
      <c r="B82" s="1" t="s">
        <v>181</v>
      </c>
      <c r="C82" s="1" t="s">
        <v>14</v>
      </c>
      <c r="D82" s="2">
        <v>71</v>
      </c>
      <c r="E82" s="2">
        <v>94</v>
      </c>
      <c r="F82" s="2">
        <v>45</v>
      </c>
      <c r="G82" s="2">
        <v>95</v>
      </c>
      <c r="H82" s="2">
        <v>46</v>
      </c>
      <c r="I82" s="3">
        <f t="shared" si="3"/>
        <v>351</v>
      </c>
      <c r="J82" s="3">
        <v>500</v>
      </c>
      <c r="K82" s="4">
        <f t="shared" si="4"/>
        <v>0.70199999999999996</v>
      </c>
      <c r="L82" s="9">
        <f t="shared" si="5"/>
        <v>0.29800000000000004</v>
      </c>
    </row>
    <row r="83" spans="1:12" x14ac:dyDescent="0.3">
      <c r="A83" s="8" t="s">
        <v>182</v>
      </c>
      <c r="B83" s="1" t="s">
        <v>183</v>
      </c>
      <c r="C83" s="1" t="s">
        <v>17</v>
      </c>
      <c r="D83" s="2">
        <v>48</v>
      </c>
      <c r="E83" s="2">
        <v>49</v>
      </c>
      <c r="F83" s="2">
        <v>68</v>
      </c>
      <c r="G83" s="2">
        <v>23</v>
      </c>
      <c r="H83" s="2">
        <v>21</v>
      </c>
      <c r="I83" s="3">
        <f t="shared" si="3"/>
        <v>209</v>
      </c>
      <c r="J83" s="3">
        <v>500</v>
      </c>
      <c r="K83" s="4">
        <f t="shared" si="4"/>
        <v>0.41799999999999998</v>
      </c>
      <c r="L83" s="9">
        <f t="shared" si="5"/>
        <v>0.58200000000000007</v>
      </c>
    </row>
    <row r="84" spans="1:12" x14ac:dyDescent="0.3">
      <c r="A84" s="8" t="s">
        <v>184</v>
      </c>
      <c r="B84" s="1" t="s">
        <v>185</v>
      </c>
      <c r="C84" s="1" t="s">
        <v>20</v>
      </c>
      <c r="D84" s="2">
        <v>77</v>
      </c>
      <c r="E84" s="2">
        <v>83</v>
      </c>
      <c r="F84" s="2">
        <v>64</v>
      </c>
      <c r="G84" s="2">
        <v>53</v>
      </c>
      <c r="H84" s="2">
        <v>13</v>
      </c>
      <c r="I84" s="3">
        <f t="shared" si="3"/>
        <v>290</v>
      </c>
      <c r="J84" s="3">
        <v>500</v>
      </c>
      <c r="K84" s="4">
        <f t="shared" si="4"/>
        <v>0.57999999999999996</v>
      </c>
      <c r="L84" s="9">
        <f t="shared" si="5"/>
        <v>0.42000000000000004</v>
      </c>
    </row>
    <row r="85" spans="1:12" x14ac:dyDescent="0.3">
      <c r="A85" s="8" t="s">
        <v>186</v>
      </c>
      <c r="B85" s="1" t="s">
        <v>187</v>
      </c>
      <c r="C85" s="1" t="s">
        <v>23</v>
      </c>
      <c r="D85" s="2">
        <v>81</v>
      </c>
      <c r="E85" s="2">
        <v>63</v>
      </c>
      <c r="F85" s="2">
        <v>88</v>
      </c>
      <c r="G85" s="2">
        <v>89</v>
      </c>
      <c r="H85" s="2">
        <v>63</v>
      </c>
      <c r="I85" s="3">
        <f t="shared" si="3"/>
        <v>384</v>
      </c>
      <c r="J85" s="3">
        <v>500</v>
      </c>
      <c r="K85" s="4">
        <f t="shared" si="4"/>
        <v>0.76800000000000002</v>
      </c>
      <c r="L85" s="9">
        <f t="shared" si="5"/>
        <v>0.23199999999999998</v>
      </c>
    </row>
    <row r="86" spans="1:12" x14ac:dyDescent="0.3">
      <c r="A86" s="8" t="s">
        <v>188</v>
      </c>
      <c r="B86" s="1" t="s">
        <v>189</v>
      </c>
      <c r="C86" s="1" t="s">
        <v>26</v>
      </c>
      <c r="D86" s="2">
        <v>39</v>
      </c>
      <c r="E86" s="2">
        <v>87</v>
      </c>
      <c r="F86" s="2">
        <v>62</v>
      </c>
      <c r="G86" s="2">
        <v>80</v>
      </c>
      <c r="H86" s="2">
        <v>81</v>
      </c>
      <c r="I86" s="3">
        <f t="shared" si="3"/>
        <v>349</v>
      </c>
      <c r="J86" s="3">
        <v>500</v>
      </c>
      <c r="K86" s="4">
        <f t="shared" si="4"/>
        <v>0.69799999999999995</v>
      </c>
      <c r="L86" s="9">
        <f t="shared" si="5"/>
        <v>0.30200000000000005</v>
      </c>
    </row>
    <row r="87" spans="1:12" x14ac:dyDescent="0.3">
      <c r="A87" s="8" t="s">
        <v>190</v>
      </c>
      <c r="B87" s="1" t="s">
        <v>191</v>
      </c>
      <c r="C87" s="1" t="s">
        <v>29</v>
      </c>
      <c r="D87" s="2">
        <v>46</v>
      </c>
      <c r="E87" s="2">
        <v>19</v>
      </c>
      <c r="F87" s="2">
        <v>59</v>
      </c>
      <c r="G87" s="2">
        <v>58</v>
      </c>
      <c r="H87" s="2">
        <v>33</v>
      </c>
      <c r="I87" s="3">
        <f t="shared" si="3"/>
        <v>215</v>
      </c>
      <c r="J87" s="3">
        <v>500</v>
      </c>
      <c r="K87" s="4">
        <f t="shared" si="4"/>
        <v>0.43</v>
      </c>
      <c r="L87" s="9">
        <f t="shared" si="5"/>
        <v>0.57000000000000006</v>
      </c>
    </row>
    <row r="88" spans="1:12" x14ac:dyDescent="0.3">
      <c r="A88" s="8" t="s">
        <v>192</v>
      </c>
      <c r="B88" s="1" t="s">
        <v>193</v>
      </c>
      <c r="C88" s="1" t="s">
        <v>32</v>
      </c>
      <c r="D88" s="2">
        <v>34</v>
      </c>
      <c r="E88" s="2">
        <v>15</v>
      </c>
      <c r="F88" s="2">
        <v>43</v>
      </c>
      <c r="G88" s="2">
        <v>63</v>
      </c>
      <c r="H88" s="2">
        <v>54</v>
      </c>
      <c r="I88" s="3">
        <f t="shared" si="3"/>
        <v>209</v>
      </c>
      <c r="J88" s="3">
        <v>500</v>
      </c>
      <c r="K88" s="4">
        <f t="shared" si="4"/>
        <v>0.41799999999999998</v>
      </c>
      <c r="L88" s="9">
        <f t="shared" si="5"/>
        <v>0.58200000000000007</v>
      </c>
    </row>
    <row r="89" spans="1:12" x14ac:dyDescent="0.3">
      <c r="A89" s="8" t="s">
        <v>194</v>
      </c>
      <c r="B89" s="1" t="s">
        <v>195</v>
      </c>
      <c r="C89" s="1" t="s">
        <v>35</v>
      </c>
      <c r="D89" s="2">
        <v>32</v>
      </c>
      <c r="E89" s="2">
        <v>79</v>
      </c>
      <c r="F89" s="2">
        <v>65</v>
      </c>
      <c r="G89" s="2">
        <v>57</v>
      </c>
      <c r="H89" s="2">
        <v>73</v>
      </c>
      <c r="I89" s="3">
        <f t="shared" si="3"/>
        <v>306</v>
      </c>
      <c r="J89" s="3">
        <v>500</v>
      </c>
      <c r="K89" s="4">
        <f t="shared" si="4"/>
        <v>0.61199999999999999</v>
      </c>
      <c r="L89" s="9">
        <f t="shared" si="5"/>
        <v>0.38800000000000001</v>
      </c>
    </row>
    <row r="90" spans="1:12" x14ac:dyDescent="0.3">
      <c r="A90" s="8" t="s">
        <v>196</v>
      </c>
      <c r="B90" s="1" t="s">
        <v>197</v>
      </c>
      <c r="C90" s="1" t="s">
        <v>14</v>
      </c>
      <c r="D90" s="2">
        <v>72</v>
      </c>
      <c r="E90" s="2">
        <v>82</v>
      </c>
      <c r="F90" s="2">
        <v>58</v>
      </c>
      <c r="G90" s="2">
        <v>36</v>
      </c>
      <c r="H90" s="2">
        <v>33</v>
      </c>
      <c r="I90" s="3">
        <f t="shared" si="3"/>
        <v>281</v>
      </c>
      <c r="J90" s="3">
        <v>500</v>
      </c>
      <c r="K90" s="4">
        <f t="shared" si="4"/>
        <v>0.56200000000000006</v>
      </c>
      <c r="L90" s="9">
        <f t="shared" si="5"/>
        <v>0.43799999999999994</v>
      </c>
    </row>
    <row r="91" spans="1:12" x14ac:dyDescent="0.3">
      <c r="A91" s="8" t="s">
        <v>198</v>
      </c>
      <c r="B91" s="1" t="s">
        <v>199</v>
      </c>
      <c r="C91" s="1" t="s">
        <v>17</v>
      </c>
      <c r="D91" s="2">
        <v>11</v>
      </c>
      <c r="E91" s="2">
        <v>69</v>
      </c>
      <c r="F91" s="2">
        <v>49</v>
      </c>
      <c r="G91" s="2">
        <v>90</v>
      </c>
      <c r="H91" s="2">
        <v>99</v>
      </c>
      <c r="I91" s="3">
        <f t="shared" si="3"/>
        <v>318</v>
      </c>
      <c r="J91" s="3">
        <v>500</v>
      </c>
      <c r="K91" s="4">
        <f t="shared" si="4"/>
        <v>0.63600000000000001</v>
      </c>
      <c r="L91" s="9">
        <f t="shared" si="5"/>
        <v>0.36399999999999999</v>
      </c>
    </row>
    <row r="92" spans="1:12" x14ac:dyDescent="0.3">
      <c r="A92" s="8" t="s">
        <v>200</v>
      </c>
      <c r="B92" s="1" t="s">
        <v>201</v>
      </c>
      <c r="C92" s="1" t="s">
        <v>20</v>
      </c>
      <c r="D92" s="2">
        <v>80</v>
      </c>
      <c r="E92" s="2">
        <v>73</v>
      </c>
      <c r="F92" s="2">
        <v>21</v>
      </c>
      <c r="G92" s="2">
        <v>72</v>
      </c>
      <c r="H92" s="2">
        <v>54</v>
      </c>
      <c r="I92" s="3">
        <f t="shared" si="3"/>
        <v>300</v>
      </c>
      <c r="J92" s="3">
        <v>500</v>
      </c>
      <c r="K92" s="4">
        <f t="shared" si="4"/>
        <v>0.6</v>
      </c>
      <c r="L92" s="9">
        <f t="shared" si="5"/>
        <v>0.4</v>
      </c>
    </row>
    <row r="93" spans="1:12" x14ac:dyDescent="0.3">
      <c r="A93" s="8" t="s">
        <v>202</v>
      </c>
      <c r="B93" s="1" t="s">
        <v>203</v>
      </c>
      <c r="C93" s="1" t="s">
        <v>23</v>
      </c>
      <c r="D93" s="2">
        <v>93</v>
      </c>
      <c r="E93" s="2">
        <v>42</v>
      </c>
      <c r="F93" s="2">
        <v>38</v>
      </c>
      <c r="G93" s="2">
        <v>98</v>
      </c>
      <c r="H93" s="2">
        <v>10</v>
      </c>
      <c r="I93" s="3">
        <f t="shared" si="3"/>
        <v>281</v>
      </c>
      <c r="J93" s="3">
        <v>500</v>
      </c>
      <c r="K93" s="4">
        <f t="shared" si="4"/>
        <v>0.56200000000000006</v>
      </c>
      <c r="L93" s="9">
        <f t="shared" si="5"/>
        <v>0.43799999999999994</v>
      </c>
    </row>
    <row r="94" spans="1:12" x14ac:dyDescent="0.3">
      <c r="A94" s="8" t="s">
        <v>204</v>
      </c>
      <c r="B94" s="1" t="s">
        <v>205</v>
      </c>
      <c r="C94" s="1" t="s">
        <v>26</v>
      </c>
      <c r="D94" s="2">
        <v>18</v>
      </c>
      <c r="E94" s="2">
        <v>80</v>
      </c>
      <c r="F94" s="2">
        <v>20</v>
      </c>
      <c r="G94" s="2">
        <v>32</v>
      </c>
      <c r="H94" s="2">
        <v>95</v>
      </c>
      <c r="I94" s="3">
        <f t="shared" si="3"/>
        <v>245</v>
      </c>
      <c r="J94" s="3">
        <v>500</v>
      </c>
      <c r="K94" s="4">
        <f t="shared" si="4"/>
        <v>0.49</v>
      </c>
      <c r="L94" s="9">
        <f t="shared" si="5"/>
        <v>0.51</v>
      </c>
    </row>
    <row r="95" spans="1:12" x14ac:dyDescent="0.3">
      <c r="A95" s="8" t="s">
        <v>206</v>
      </c>
      <c r="B95" s="1" t="s">
        <v>207</v>
      </c>
      <c r="C95" s="1" t="s">
        <v>29</v>
      </c>
      <c r="D95" s="2">
        <v>96</v>
      </c>
      <c r="E95" s="2">
        <v>14</v>
      </c>
      <c r="F95" s="2">
        <v>20</v>
      </c>
      <c r="G95" s="2">
        <v>31</v>
      </c>
      <c r="H95" s="2">
        <v>44</v>
      </c>
      <c r="I95" s="3">
        <f t="shared" si="3"/>
        <v>205</v>
      </c>
      <c r="J95" s="3">
        <v>500</v>
      </c>
      <c r="K95" s="4">
        <f t="shared" si="4"/>
        <v>0.41</v>
      </c>
      <c r="L95" s="9">
        <f t="shared" si="5"/>
        <v>0.59000000000000008</v>
      </c>
    </row>
    <row r="96" spans="1:12" x14ac:dyDescent="0.3">
      <c r="A96" s="8" t="s">
        <v>208</v>
      </c>
      <c r="B96" s="1" t="s">
        <v>209</v>
      </c>
      <c r="C96" s="1" t="s">
        <v>32</v>
      </c>
      <c r="D96" s="2">
        <v>37</v>
      </c>
      <c r="E96" s="2">
        <v>60</v>
      </c>
      <c r="F96" s="2">
        <v>50</v>
      </c>
      <c r="G96" s="2">
        <v>68</v>
      </c>
      <c r="H96" s="2">
        <v>19</v>
      </c>
      <c r="I96" s="3">
        <f t="shared" si="3"/>
        <v>234</v>
      </c>
      <c r="J96" s="3">
        <v>500</v>
      </c>
      <c r="K96" s="4">
        <f t="shared" si="4"/>
        <v>0.46800000000000003</v>
      </c>
      <c r="L96" s="9">
        <f t="shared" si="5"/>
        <v>0.53200000000000003</v>
      </c>
    </row>
    <row r="97" spans="1:12" x14ac:dyDescent="0.3">
      <c r="A97" s="8" t="s">
        <v>210</v>
      </c>
      <c r="B97" s="1" t="s">
        <v>211</v>
      </c>
      <c r="C97" s="1" t="s">
        <v>35</v>
      </c>
      <c r="D97" s="2">
        <v>35</v>
      </c>
      <c r="E97" s="2">
        <v>79</v>
      </c>
      <c r="F97" s="2">
        <v>17</v>
      </c>
      <c r="G97" s="2">
        <v>85</v>
      </c>
      <c r="H97" s="2">
        <v>16</v>
      </c>
      <c r="I97" s="3">
        <f t="shared" si="3"/>
        <v>232</v>
      </c>
      <c r="J97" s="3">
        <v>500</v>
      </c>
      <c r="K97" s="4">
        <f t="shared" si="4"/>
        <v>0.46400000000000002</v>
      </c>
      <c r="L97" s="9">
        <f t="shared" si="5"/>
        <v>0.53600000000000003</v>
      </c>
    </row>
    <row r="98" spans="1:12" x14ac:dyDescent="0.3">
      <c r="A98" s="8" t="s">
        <v>212</v>
      </c>
      <c r="B98" s="1" t="s">
        <v>213</v>
      </c>
      <c r="C98" s="1" t="s">
        <v>14</v>
      </c>
      <c r="D98" s="2">
        <v>31</v>
      </c>
      <c r="E98" s="2">
        <v>48</v>
      </c>
      <c r="F98" s="2">
        <v>56</v>
      </c>
      <c r="G98" s="2">
        <v>85</v>
      </c>
      <c r="H98" s="2">
        <v>25</v>
      </c>
      <c r="I98" s="3">
        <f t="shared" si="3"/>
        <v>245</v>
      </c>
      <c r="J98" s="3">
        <v>500</v>
      </c>
      <c r="K98" s="4">
        <f t="shared" si="4"/>
        <v>0.49</v>
      </c>
      <c r="L98" s="9">
        <f t="shared" si="5"/>
        <v>0.51</v>
      </c>
    </row>
    <row r="99" spans="1:12" x14ac:dyDescent="0.3">
      <c r="A99" s="8" t="s">
        <v>214</v>
      </c>
      <c r="B99" s="1" t="s">
        <v>215</v>
      </c>
      <c r="C99" s="1" t="s">
        <v>17</v>
      </c>
      <c r="D99" s="2">
        <v>23</v>
      </c>
      <c r="E99" s="2">
        <v>83</v>
      </c>
      <c r="F99" s="2">
        <v>86</v>
      </c>
      <c r="G99" s="2">
        <v>69</v>
      </c>
      <c r="H99" s="2">
        <v>25</v>
      </c>
      <c r="I99" s="3">
        <f t="shared" si="3"/>
        <v>286</v>
      </c>
      <c r="J99" s="3">
        <v>500</v>
      </c>
      <c r="K99" s="4">
        <f t="shared" si="4"/>
        <v>0.57199999999999995</v>
      </c>
      <c r="L99" s="9">
        <f t="shared" si="5"/>
        <v>0.42800000000000005</v>
      </c>
    </row>
    <row r="100" spans="1:12" x14ac:dyDescent="0.3">
      <c r="A100" s="8" t="s">
        <v>216</v>
      </c>
      <c r="B100" s="1" t="s">
        <v>217</v>
      </c>
      <c r="C100" s="1" t="s">
        <v>20</v>
      </c>
      <c r="D100" s="2">
        <v>17</v>
      </c>
      <c r="E100" s="2">
        <v>97</v>
      </c>
      <c r="F100" s="2">
        <v>81</v>
      </c>
      <c r="G100" s="2">
        <v>32</v>
      </c>
      <c r="H100" s="2">
        <v>76</v>
      </c>
      <c r="I100" s="3">
        <f t="shared" si="3"/>
        <v>303</v>
      </c>
      <c r="J100" s="3">
        <v>500</v>
      </c>
      <c r="K100" s="4">
        <f t="shared" si="4"/>
        <v>0.60599999999999998</v>
      </c>
      <c r="L100" s="9">
        <f t="shared" si="5"/>
        <v>0.39400000000000002</v>
      </c>
    </row>
    <row r="101" spans="1:12" x14ac:dyDescent="0.3">
      <c r="A101" s="8" t="s">
        <v>218</v>
      </c>
      <c r="B101" s="1" t="s">
        <v>219</v>
      </c>
      <c r="C101" s="1" t="s">
        <v>23</v>
      </c>
      <c r="D101" s="2">
        <v>92</v>
      </c>
      <c r="E101" s="2">
        <v>45</v>
      </c>
      <c r="F101" s="2">
        <v>43</v>
      </c>
      <c r="G101" s="2">
        <v>91</v>
      </c>
      <c r="H101" s="2">
        <v>47</v>
      </c>
      <c r="I101" s="3">
        <f t="shared" si="3"/>
        <v>318</v>
      </c>
      <c r="J101" s="3">
        <v>500</v>
      </c>
      <c r="K101" s="4">
        <f t="shared" si="4"/>
        <v>0.63600000000000001</v>
      </c>
      <c r="L101" s="9">
        <f t="shared" si="5"/>
        <v>0.36399999999999999</v>
      </c>
    </row>
    <row r="102" spans="1:12" x14ac:dyDescent="0.3">
      <c r="A102" s="8" t="s">
        <v>220</v>
      </c>
      <c r="B102" s="1" t="s">
        <v>221</v>
      </c>
      <c r="C102" s="1" t="s">
        <v>26</v>
      </c>
      <c r="D102" s="2">
        <v>49</v>
      </c>
      <c r="E102" s="2">
        <v>77</v>
      </c>
      <c r="F102" s="2">
        <v>18</v>
      </c>
      <c r="G102" s="2">
        <v>69</v>
      </c>
      <c r="H102" s="2">
        <v>55</v>
      </c>
      <c r="I102" s="3">
        <f t="shared" si="3"/>
        <v>268</v>
      </c>
      <c r="J102" s="3">
        <v>500</v>
      </c>
      <c r="K102" s="4">
        <f t="shared" si="4"/>
        <v>0.53600000000000003</v>
      </c>
      <c r="L102" s="9">
        <f t="shared" si="5"/>
        <v>0.46399999999999997</v>
      </c>
    </row>
    <row r="103" spans="1:12" x14ac:dyDescent="0.3">
      <c r="A103" s="8" t="s">
        <v>222</v>
      </c>
      <c r="B103" s="1" t="s">
        <v>223</v>
      </c>
      <c r="C103" s="1" t="s">
        <v>29</v>
      </c>
      <c r="D103" s="2">
        <v>81</v>
      </c>
      <c r="E103" s="2">
        <v>88</v>
      </c>
      <c r="F103" s="2">
        <v>19</v>
      </c>
      <c r="G103" s="2">
        <v>95</v>
      </c>
      <c r="H103" s="2">
        <v>39</v>
      </c>
      <c r="I103" s="3">
        <f t="shared" si="3"/>
        <v>322</v>
      </c>
      <c r="J103" s="3">
        <v>500</v>
      </c>
      <c r="K103" s="4">
        <f t="shared" si="4"/>
        <v>0.64400000000000002</v>
      </c>
      <c r="L103" s="9">
        <f t="shared" si="5"/>
        <v>0.35599999999999998</v>
      </c>
    </row>
    <row r="104" spans="1:12" x14ac:dyDescent="0.3">
      <c r="A104" s="8" t="s">
        <v>224</v>
      </c>
      <c r="B104" s="1" t="s">
        <v>225</v>
      </c>
      <c r="C104" s="1" t="s">
        <v>32</v>
      </c>
      <c r="D104" s="2">
        <v>55</v>
      </c>
      <c r="E104" s="2">
        <v>14</v>
      </c>
      <c r="F104" s="2">
        <v>41</v>
      </c>
      <c r="G104" s="2">
        <v>40</v>
      </c>
      <c r="H104" s="2">
        <v>70</v>
      </c>
      <c r="I104" s="3">
        <f t="shared" si="3"/>
        <v>220</v>
      </c>
      <c r="J104" s="3">
        <v>500</v>
      </c>
      <c r="K104" s="4">
        <f t="shared" si="4"/>
        <v>0.44</v>
      </c>
      <c r="L104" s="9">
        <f t="shared" si="5"/>
        <v>0.56000000000000005</v>
      </c>
    </row>
    <row r="105" spans="1:12" x14ac:dyDescent="0.3">
      <c r="A105" s="8" t="s">
        <v>226</v>
      </c>
      <c r="B105" s="1" t="s">
        <v>227</v>
      </c>
      <c r="C105" s="1" t="s">
        <v>35</v>
      </c>
      <c r="D105" s="2">
        <v>86</v>
      </c>
      <c r="E105" s="2">
        <v>13</v>
      </c>
      <c r="F105" s="2">
        <v>99</v>
      </c>
      <c r="G105" s="2">
        <v>25</v>
      </c>
      <c r="H105" s="2">
        <v>83</v>
      </c>
      <c r="I105" s="3">
        <f t="shared" si="3"/>
        <v>306</v>
      </c>
      <c r="J105" s="3">
        <v>500</v>
      </c>
      <c r="K105" s="4">
        <f t="shared" si="4"/>
        <v>0.61199999999999999</v>
      </c>
      <c r="L105" s="9">
        <f t="shared" si="5"/>
        <v>0.38800000000000001</v>
      </c>
    </row>
    <row r="106" spans="1:12" x14ac:dyDescent="0.3">
      <c r="A106" s="8" t="s">
        <v>228</v>
      </c>
      <c r="B106" s="1" t="s">
        <v>229</v>
      </c>
      <c r="C106" s="1" t="s">
        <v>14</v>
      </c>
      <c r="D106" s="2">
        <v>88</v>
      </c>
      <c r="E106" s="2">
        <v>96</v>
      </c>
      <c r="F106" s="2">
        <v>16</v>
      </c>
      <c r="G106" s="2">
        <v>65</v>
      </c>
      <c r="H106" s="2">
        <v>86</v>
      </c>
      <c r="I106" s="3">
        <f t="shared" si="3"/>
        <v>351</v>
      </c>
      <c r="J106" s="3">
        <v>500</v>
      </c>
      <c r="K106" s="4">
        <f t="shared" si="4"/>
        <v>0.70199999999999996</v>
      </c>
      <c r="L106" s="9">
        <f t="shared" si="5"/>
        <v>0.29800000000000004</v>
      </c>
    </row>
    <row r="107" spans="1:12" x14ac:dyDescent="0.3">
      <c r="A107" s="8" t="s">
        <v>230</v>
      </c>
      <c r="B107" s="1" t="s">
        <v>231</v>
      </c>
      <c r="C107" s="1" t="s">
        <v>17</v>
      </c>
      <c r="D107" s="2">
        <v>61</v>
      </c>
      <c r="E107" s="2">
        <v>73</v>
      </c>
      <c r="F107" s="2">
        <v>34</v>
      </c>
      <c r="G107" s="2">
        <v>30</v>
      </c>
      <c r="H107" s="2">
        <v>30</v>
      </c>
      <c r="I107" s="3">
        <f t="shared" si="3"/>
        <v>228</v>
      </c>
      <c r="J107" s="3">
        <v>500</v>
      </c>
      <c r="K107" s="4">
        <f t="shared" si="4"/>
        <v>0.45600000000000002</v>
      </c>
      <c r="L107" s="9">
        <f t="shared" si="5"/>
        <v>0.54400000000000004</v>
      </c>
    </row>
    <row r="108" spans="1:12" x14ac:dyDescent="0.3">
      <c r="A108" s="8" t="s">
        <v>232</v>
      </c>
      <c r="B108" s="1" t="s">
        <v>233</v>
      </c>
      <c r="C108" s="1" t="s">
        <v>20</v>
      </c>
      <c r="D108" s="2">
        <v>61</v>
      </c>
      <c r="E108" s="2">
        <v>91</v>
      </c>
      <c r="F108" s="2">
        <v>53</v>
      </c>
      <c r="G108" s="2">
        <v>78</v>
      </c>
      <c r="H108" s="2">
        <v>91</v>
      </c>
      <c r="I108" s="3">
        <f t="shared" si="3"/>
        <v>374</v>
      </c>
      <c r="J108" s="3">
        <v>500</v>
      </c>
      <c r="K108" s="4">
        <f t="shared" si="4"/>
        <v>0.748</v>
      </c>
      <c r="L108" s="9">
        <f t="shared" si="5"/>
        <v>0.252</v>
      </c>
    </row>
    <row r="109" spans="1:12" x14ac:dyDescent="0.3">
      <c r="A109" s="8" t="s">
        <v>234</v>
      </c>
      <c r="B109" s="1" t="s">
        <v>235</v>
      </c>
      <c r="C109" s="1" t="s">
        <v>23</v>
      </c>
      <c r="D109" s="2">
        <v>75</v>
      </c>
      <c r="E109" s="2">
        <v>53</v>
      </c>
      <c r="F109" s="2">
        <v>27</v>
      </c>
      <c r="G109" s="2">
        <v>26</v>
      </c>
      <c r="H109" s="2">
        <v>30</v>
      </c>
      <c r="I109" s="3">
        <f t="shared" si="3"/>
        <v>211</v>
      </c>
      <c r="J109" s="3">
        <v>500</v>
      </c>
      <c r="K109" s="4">
        <f t="shared" si="4"/>
        <v>0.42199999999999999</v>
      </c>
      <c r="L109" s="9">
        <f t="shared" si="5"/>
        <v>0.57800000000000007</v>
      </c>
    </row>
    <row r="110" spans="1:12" x14ac:dyDescent="0.3">
      <c r="A110" s="8" t="s">
        <v>236</v>
      </c>
      <c r="B110" s="1" t="s">
        <v>237</v>
      </c>
      <c r="C110" s="1" t="s">
        <v>26</v>
      </c>
      <c r="D110" s="2">
        <v>24</v>
      </c>
      <c r="E110" s="2">
        <v>31</v>
      </c>
      <c r="F110" s="2">
        <v>41</v>
      </c>
      <c r="G110" s="2">
        <v>57</v>
      </c>
      <c r="H110" s="2">
        <v>83</v>
      </c>
      <c r="I110" s="3">
        <f t="shared" si="3"/>
        <v>236</v>
      </c>
      <c r="J110" s="3">
        <v>500</v>
      </c>
      <c r="K110" s="4">
        <f t="shared" si="4"/>
        <v>0.47199999999999998</v>
      </c>
      <c r="L110" s="9">
        <f t="shared" si="5"/>
        <v>0.52800000000000002</v>
      </c>
    </row>
    <row r="111" spans="1:12" x14ac:dyDescent="0.3">
      <c r="A111" s="8" t="s">
        <v>238</v>
      </c>
      <c r="B111" s="1" t="s">
        <v>239</v>
      </c>
      <c r="C111" s="1" t="s">
        <v>29</v>
      </c>
      <c r="D111" s="2">
        <v>83</v>
      </c>
      <c r="E111" s="2">
        <v>62</v>
      </c>
      <c r="F111" s="2">
        <v>32</v>
      </c>
      <c r="G111" s="2">
        <v>83</v>
      </c>
      <c r="H111" s="2">
        <v>95</v>
      </c>
      <c r="I111" s="3">
        <f t="shared" si="3"/>
        <v>355</v>
      </c>
      <c r="J111" s="3">
        <v>500</v>
      </c>
      <c r="K111" s="4">
        <f t="shared" si="4"/>
        <v>0.71</v>
      </c>
      <c r="L111" s="9">
        <f t="shared" si="5"/>
        <v>0.29000000000000004</v>
      </c>
    </row>
    <row r="112" spans="1:12" x14ac:dyDescent="0.3">
      <c r="A112" s="8" t="s">
        <v>240</v>
      </c>
      <c r="B112" s="1" t="s">
        <v>241</v>
      </c>
      <c r="C112" s="1" t="s">
        <v>32</v>
      </c>
      <c r="D112" s="2">
        <v>39</v>
      </c>
      <c r="E112" s="2">
        <v>52</v>
      </c>
      <c r="F112" s="2">
        <v>72</v>
      </c>
      <c r="G112" s="2">
        <v>99</v>
      </c>
      <c r="H112" s="2">
        <v>58</v>
      </c>
      <c r="I112" s="3">
        <f t="shared" si="3"/>
        <v>320</v>
      </c>
      <c r="J112" s="3">
        <v>500</v>
      </c>
      <c r="K112" s="4">
        <f t="shared" si="4"/>
        <v>0.64</v>
      </c>
      <c r="L112" s="9">
        <f t="shared" si="5"/>
        <v>0.36</v>
      </c>
    </row>
    <row r="113" spans="1:12" x14ac:dyDescent="0.3">
      <c r="A113" s="8" t="s">
        <v>242</v>
      </c>
      <c r="B113" s="1" t="s">
        <v>243</v>
      </c>
      <c r="C113" s="1" t="s">
        <v>35</v>
      </c>
      <c r="D113" s="2">
        <v>93</v>
      </c>
      <c r="E113" s="2">
        <v>74</v>
      </c>
      <c r="F113" s="2">
        <v>85</v>
      </c>
      <c r="G113" s="2">
        <v>47</v>
      </c>
      <c r="H113" s="2">
        <v>90</v>
      </c>
      <c r="I113" s="3">
        <f t="shared" si="3"/>
        <v>389</v>
      </c>
      <c r="J113" s="3">
        <v>500</v>
      </c>
      <c r="K113" s="4">
        <f t="shared" si="4"/>
        <v>0.77800000000000002</v>
      </c>
      <c r="L113" s="9">
        <f t="shared" si="5"/>
        <v>0.22199999999999998</v>
      </c>
    </row>
    <row r="114" spans="1:12" x14ac:dyDescent="0.3">
      <c r="A114" s="8" t="s">
        <v>244</v>
      </c>
      <c r="B114" s="1" t="s">
        <v>245</v>
      </c>
      <c r="C114" s="1" t="s">
        <v>14</v>
      </c>
      <c r="D114" s="2">
        <v>43</v>
      </c>
      <c r="E114" s="2">
        <v>88</v>
      </c>
      <c r="F114" s="2">
        <v>35</v>
      </c>
      <c r="G114" s="2">
        <v>54</v>
      </c>
      <c r="H114" s="2">
        <v>91</v>
      </c>
      <c r="I114" s="3">
        <f t="shared" si="3"/>
        <v>311</v>
      </c>
      <c r="J114" s="3">
        <v>500</v>
      </c>
      <c r="K114" s="4">
        <f t="shared" si="4"/>
        <v>0.622</v>
      </c>
      <c r="L114" s="9">
        <f t="shared" si="5"/>
        <v>0.378</v>
      </c>
    </row>
    <row r="115" spans="1:12" x14ac:dyDescent="0.3">
      <c r="A115" s="8" t="s">
        <v>246</v>
      </c>
      <c r="B115" s="1" t="s">
        <v>247</v>
      </c>
      <c r="C115" s="1" t="s">
        <v>17</v>
      </c>
      <c r="D115" s="2">
        <v>87</v>
      </c>
      <c r="E115" s="2">
        <v>15</v>
      </c>
      <c r="F115" s="2">
        <v>11</v>
      </c>
      <c r="G115" s="2">
        <v>42</v>
      </c>
      <c r="H115" s="2">
        <v>88</v>
      </c>
      <c r="I115" s="3">
        <f t="shared" si="3"/>
        <v>243</v>
      </c>
      <c r="J115" s="3">
        <v>500</v>
      </c>
      <c r="K115" s="4">
        <f t="shared" si="4"/>
        <v>0.48599999999999999</v>
      </c>
      <c r="L115" s="9">
        <f t="shared" si="5"/>
        <v>0.51400000000000001</v>
      </c>
    </row>
    <row r="116" spans="1:12" x14ac:dyDescent="0.3">
      <c r="A116" s="8" t="s">
        <v>248</v>
      </c>
      <c r="B116" s="1" t="s">
        <v>249</v>
      </c>
      <c r="C116" s="1" t="s">
        <v>20</v>
      </c>
      <c r="D116" s="2">
        <v>45</v>
      </c>
      <c r="E116" s="2">
        <v>45</v>
      </c>
      <c r="F116" s="2">
        <v>61</v>
      </c>
      <c r="G116" s="2">
        <v>11</v>
      </c>
      <c r="H116" s="2">
        <v>52</v>
      </c>
      <c r="I116" s="3">
        <f t="shared" si="3"/>
        <v>214</v>
      </c>
      <c r="J116" s="3">
        <v>500</v>
      </c>
      <c r="K116" s="4">
        <f t="shared" si="4"/>
        <v>0.42799999999999999</v>
      </c>
      <c r="L116" s="9">
        <f t="shared" si="5"/>
        <v>0.57200000000000006</v>
      </c>
    </row>
    <row r="117" spans="1:12" x14ac:dyDescent="0.3">
      <c r="A117" s="8" t="s">
        <v>250</v>
      </c>
      <c r="B117" s="1" t="s">
        <v>251</v>
      </c>
      <c r="C117" s="1" t="s">
        <v>23</v>
      </c>
      <c r="D117" s="2">
        <v>71</v>
      </c>
      <c r="E117" s="2">
        <v>42</v>
      </c>
      <c r="F117" s="2">
        <v>17</v>
      </c>
      <c r="G117" s="2">
        <v>57</v>
      </c>
      <c r="H117" s="2">
        <v>96</v>
      </c>
      <c r="I117" s="3">
        <f t="shared" si="3"/>
        <v>283</v>
      </c>
      <c r="J117" s="3">
        <v>500</v>
      </c>
      <c r="K117" s="4">
        <f t="shared" si="4"/>
        <v>0.56599999999999995</v>
      </c>
      <c r="L117" s="9">
        <f t="shared" si="5"/>
        <v>0.43400000000000005</v>
      </c>
    </row>
    <row r="118" spans="1:12" x14ac:dyDescent="0.3">
      <c r="A118" s="8" t="s">
        <v>252</v>
      </c>
      <c r="B118" s="1" t="s">
        <v>253</v>
      </c>
      <c r="C118" s="1" t="s">
        <v>26</v>
      </c>
      <c r="D118" s="2">
        <v>26</v>
      </c>
      <c r="E118" s="2">
        <v>65</v>
      </c>
      <c r="F118" s="2">
        <v>17</v>
      </c>
      <c r="G118" s="2">
        <v>28</v>
      </c>
      <c r="H118" s="2">
        <v>30</v>
      </c>
      <c r="I118" s="3">
        <f t="shared" si="3"/>
        <v>166</v>
      </c>
      <c r="J118" s="3">
        <v>500</v>
      </c>
      <c r="K118" s="4">
        <f t="shared" si="4"/>
        <v>0.33200000000000002</v>
      </c>
      <c r="L118" s="9">
        <f t="shared" si="5"/>
        <v>0.66799999999999993</v>
      </c>
    </row>
    <row r="119" spans="1:12" x14ac:dyDescent="0.3">
      <c r="A119" s="8" t="s">
        <v>254</v>
      </c>
      <c r="B119" s="1" t="s">
        <v>255</v>
      </c>
      <c r="C119" s="1" t="s">
        <v>29</v>
      </c>
      <c r="D119" s="2">
        <v>26</v>
      </c>
      <c r="E119" s="2">
        <v>61</v>
      </c>
      <c r="F119" s="2">
        <v>89</v>
      </c>
      <c r="G119" s="2">
        <v>71</v>
      </c>
      <c r="H119" s="2">
        <v>33</v>
      </c>
      <c r="I119" s="3">
        <f t="shared" si="3"/>
        <v>280</v>
      </c>
      <c r="J119" s="3">
        <v>500</v>
      </c>
      <c r="K119" s="4">
        <f t="shared" si="4"/>
        <v>0.56000000000000005</v>
      </c>
      <c r="L119" s="9">
        <f t="shared" si="5"/>
        <v>0.43999999999999995</v>
      </c>
    </row>
    <row r="120" spans="1:12" x14ac:dyDescent="0.3">
      <c r="A120" s="8" t="s">
        <v>256</v>
      </c>
      <c r="B120" s="1" t="s">
        <v>257</v>
      </c>
      <c r="C120" s="1" t="s">
        <v>32</v>
      </c>
      <c r="D120" s="2">
        <v>93</v>
      </c>
      <c r="E120" s="2">
        <v>11</v>
      </c>
      <c r="F120" s="2">
        <v>93</v>
      </c>
      <c r="G120" s="2">
        <v>31</v>
      </c>
      <c r="H120" s="2">
        <v>30</v>
      </c>
      <c r="I120" s="3">
        <f t="shared" si="3"/>
        <v>258</v>
      </c>
      <c r="J120" s="3">
        <v>500</v>
      </c>
      <c r="K120" s="4">
        <f t="shared" si="4"/>
        <v>0.51600000000000001</v>
      </c>
      <c r="L120" s="9">
        <f t="shared" si="5"/>
        <v>0.48399999999999999</v>
      </c>
    </row>
    <row r="121" spans="1:12" x14ac:dyDescent="0.3">
      <c r="A121" s="8" t="s">
        <v>258</v>
      </c>
      <c r="B121" s="1" t="s">
        <v>259</v>
      </c>
      <c r="C121" s="1" t="s">
        <v>35</v>
      </c>
      <c r="D121" s="2">
        <v>65</v>
      </c>
      <c r="E121" s="2">
        <v>92</v>
      </c>
      <c r="F121" s="2">
        <v>48</v>
      </c>
      <c r="G121" s="2">
        <v>96</v>
      </c>
      <c r="H121" s="2">
        <v>15</v>
      </c>
      <c r="I121" s="3">
        <f t="shared" si="3"/>
        <v>316</v>
      </c>
      <c r="J121" s="3">
        <v>500</v>
      </c>
      <c r="K121" s="4">
        <f t="shared" si="4"/>
        <v>0.63200000000000001</v>
      </c>
      <c r="L121" s="9">
        <f t="shared" si="5"/>
        <v>0.36799999999999999</v>
      </c>
    </row>
    <row r="122" spans="1:12" x14ac:dyDescent="0.3">
      <c r="A122" s="8" t="s">
        <v>260</v>
      </c>
      <c r="B122" s="1" t="s">
        <v>261</v>
      </c>
      <c r="C122" s="1" t="s">
        <v>14</v>
      </c>
      <c r="D122" s="2">
        <v>91</v>
      </c>
      <c r="E122" s="2">
        <v>38</v>
      </c>
      <c r="F122" s="2">
        <v>33</v>
      </c>
      <c r="G122" s="2">
        <v>55</v>
      </c>
      <c r="H122" s="2">
        <v>83</v>
      </c>
      <c r="I122" s="3">
        <f t="shared" si="3"/>
        <v>300</v>
      </c>
      <c r="J122" s="3">
        <v>500</v>
      </c>
      <c r="K122" s="4">
        <f t="shared" si="4"/>
        <v>0.6</v>
      </c>
      <c r="L122" s="9">
        <f t="shared" si="5"/>
        <v>0.4</v>
      </c>
    </row>
    <row r="123" spans="1:12" x14ac:dyDescent="0.3">
      <c r="A123" s="8" t="s">
        <v>262</v>
      </c>
      <c r="B123" s="1" t="s">
        <v>263</v>
      </c>
      <c r="C123" s="1" t="s">
        <v>17</v>
      </c>
      <c r="D123" s="2">
        <v>20</v>
      </c>
      <c r="E123" s="2">
        <v>94</v>
      </c>
      <c r="F123" s="2">
        <v>45</v>
      </c>
      <c r="G123" s="2">
        <v>70</v>
      </c>
      <c r="H123" s="2">
        <v>98</v>
      </c>
      <c r="I123" s="3">
        <f t="shared" si="3"/>
        <v>327</v>
      </c>
      <c r="J123" s="3">
        <v>500</v>
      </c>
      <c r="K123" s="4">
        <f t="shared" si="4"/>
        <v>0.65400000000000003</v>
      </c>
      <c r="L123" s="9">
        <f t="shared" si="5"/>
        <v>0.34599999999999997</v>
      </c>
    </row>
    <row r="124" spans="1:12" x14ac:dyDescent="0.3">
      <c r="A124" s="8" t="s">
        <v>264</v>
      </c>
      <c r="B124" s="1" t="s">
        <v>265</v>
      </c>
      <c r="C124" s="1" t="s">
        <v>20</v>
      </c>
      <c r="D124" s="2">
        <v>25</v>
      </c>
      <c r="E124" s="2">
        <v>83</v>
      </c>
      <c r="F124" s="2">
        <v>26</v>
      </c>
      <c r="G124" s="2">
        <v>68</v>
      </c>
      <c r="H124" s="2">
        <v>22</v>
      </c>
      <c r="I124" s="3">
        <f t="shared" si="3"/>
        <v>224</v>
      </c>
      <c r="J124" s="3">
        <v>500</v>
      </c>
      <c r="K124" s="4">
        <f t="shared" si="4"/>
        <v>0.44800000000000001</v>
      </c>
      <c r="L124" s="9">
        <f t="shared" si="5"/>
        <v>0.55200000000000005</v>
      </c>
    </row>
    <row r="125" spans="1:12" x14ac:dyDescent="0.3">
      <c r="A125" s="8" t="s">
        <v>266</v>
      </c>
      <c r="B125" s="1" t="s">
        <v>267</v>
      </c>
      <c r="C125" s="1" t="s">
        <v>23</v>
      </c>
      <c r="D125" s="2">
        <v>26</v>
      </c>
      <c r="E125" s="2">
        <v>16</v>
      </c>
      <c r="F125" s="2">
        <v>61</v>
      </c>
      <c r="G125" s="2">
        <v>92</v>
      </c>
      <c r="H125" s="2">
        <v>50</v>
      </c>
      <c r="I125" s="3">
        <f t="shared" si="3"/>
        <v>245</v>
      </c>
      <c r="J125" s="3">
        <v>500</v>
      </c>
      <c r="K125" s="4">
        <f t="shared" si="4"/>
        <v>0.49</v>
      </c>
      <c r="L125" s="9">
        <f t="shared" si="5"/>
        <v>0.51</v>
      </c>
    </row>
    <row r="126" spans="1:12" x14ac:dyDescent="0.3">
      <c r="A126" s="8" t="s">
        <v>268</v>
      </c>
      <c r="B126" s="1" t="s">
        <v>269</v>
      </c>
      <c r="C126" s="1" t="s">
        <v>26</v>
      </c>
      <c r="D126" s="2">
        <v>31</v>
      </c>
      <c r="E126" s="2">
        <v>55</v>
      </c>
      <c r="F126" s="2">
        <v>75</v>
      </c>
      <c r="G126" s="2">
        <v>66</v>
      </c>
      <c r="H126" s="2">
        <v>75</v>
      </c>
      <c r="I126" s="3">
        <f t="shared" si="3"/>
        <v>302</v>
      </c>
      <c r="J126" s="3">
        <v>500</v>
      </c>
      <c r="K126" s="4">
        <f t="shared" si="4"/>
        <v>0.60399999999999998</v>
      </c>
      <c r="L126" s="9">
        <f t="shared" si="5"/>
        <v>0.39600000000000002</v>
      </c>
    </row>
    <row r="127" spans="1:12" x14ac:dyDescent="0.3">
      <c r="A127" s="8" t="s">
        <v>270</v>
      </c>
      <c r="B127" s="1" t="s">
        <v>271</v>
      </c>
      <c r="C127" s="1" t="s">
        <v>29</v>
      </c>
      <c r="D127" s="2">
        <v>41</v>
      </c>
      <c r="E127" s="2">
        <v>66</v>
      </c>
      <c r="F127" s="2">
        <v>48</v>
      </c>
      <c r="G127" s="2">
        <v>70</v>
      </c>
      <c r="H127" s="2">
        <v>48</v>
      </c>
      <c r="I127" s="3">
        <f t="shared" si="3"/>
        <v>273</v>
      </c>
      <c r="J127" s="3">
        <v>500</v>
      </c>
      <c r="K127" s="4">
        <f t="shared" si="4"/>
        <v>0.54600000000000004</v>
      </c>
      <c r="L127" s="9">
        <f t="shared" si="5"/>
        <v>0.45399999999999996</v>
      </c>
    </row>
    <row r="128" spans="1:12" x14ac:dyDescent="0.3">
      <c r="A128" s="8" t="s">
        <v>272</v>
      </c>
      <c r="B128" s="1" t="s">
        <v>273</v>
      </c>
      <c r="C128" s="1" t="s">
        <v>32</v>
      </c>
      <c r="D128" s="2">
        <v>60</v>
      </c>
      <c r="E128" s="2">
        <v>92</v>
      </c>
      <c r="F128" s="2">
        <v>32</v>
      </c>
      <c r="G128" s="2">
        <v>60</v>
      </c>
      <c r="H128" s="2">
        <v>78</v>
      </c>
      <c r="I128" s="3">
        <f t="shared" si="3"/>
        <v>322</v>
      </c>
      <c r="J128" s="3">
        <v>500</v>
      </c>
      <c r="K128" s="4">
        <f t="shared" si="4"/>
        <v>0.64400000000000002</v>
      </c>
      <c r="L128" s="9">
        <f t="shared" si="5"/>
        <v>0.35599999999999998</v>
      </c>
    </row>
    <row r="129" spans="1:12" x14ac:dyDescent="0.3">
      <c r="A129" s="8" t="s">
        <v>274</v>
      </c>
      <c r="B129" s="1" t="s">
        <v>275</v>
      </c>
      <c r="C129" s="1" t="s">
        <v>35</v>
      </c>
      <c r="D129" s="2">
        <v>42</v>
      </c>
      <c r="E129" s="2">
        <v>24</v>
      </c>
      <c r="F129" s="2">
        <v>19</v>
      </c>
      <c r="G129" s="2">
        <v>82</v>
      </c>
      <c r="H129" s="2">
        <v>16</v>
      </c>
      <c r="I129" s="3">
        <f t="shared" si="3"/>
        <v>183</v>
      </c>
      <c r="J129" s="3">
        <v>500</v>
      </c>
      <c r="K129" s="4">
        <f t="shared" si="4"/>
        <v>0.36599999999999999</v>
      </c>
      <c r="L129" s="9">
        <f t="shared" si="5"/>
        <v>0.63400000000000001</v>
      </c>
    </row>
    <row r="130" spans="1:12" x14ac:dyDescent="0.3">
      <c r="A130" s="8" t="s">
        <v>276</v>
      </c>
      <c r="B130" s="1" t="s">
        <v>277</v>
      </c>
      <c r="C130" s="1" t="s">
        <v>14</v>
      </c>
      <c r="D130" s="2">
        <v>26</v>
      </c>
      <c r="E130" s="2">
        <v>85</v>
      </c>
      <c r="F130" s="2">
        <v>75</v>
      </c>
      <c r="G130" s="2">
        <v>83</v>
      </c>
      <c r="H130" s="2">
        <v>37</v>
      </c>
      <c r="I130" s="3">
        <f t="shared" si="3"/>
        <v>306</v>
      </c>
      <c r="J130" s="3">
        <v>500</v>
      </c>
      <c r="K130" s="4">
        <f t="shared" si="4"/>
        <v>0.61199999999999999</v>
      </c>
      <c r="L130" s="9">
        <f t="shared" si="5"/>
        <v>0.38800000000000001</v>
      </c>
    </row>
    <row r="131" spans="1:12" x14ac:dyDescent="0.3">
      <c r="A131" s="8" t="s">
        <v>278</v>
      </c>
      <c r="B131" s="1" t="s">
        <v>279</v>
      </c>
      <c r="C131" s="1" t="s">
        <v>17</v>
      </c>
      <c r="D131" s="2">
        <v>81</v>
      </c>
      <c r="E131" s="2">
        <v>68</v>
      </c>
      <c r="F131" s="2">
        <v>74</v>
      </c>
      <c r="G131" s="2">
        <v>72</v>
      </c>
      <c r="H131" s="2">
        <v>12</v>
      </c>
      <c r="I131" s="3">
        <f t="shared" ref="I131:I142" si="6">SUM(D131:H131)</f>
        <v>307</v>
      </c>
      <c r="J131" s="3">
        <v>500</v>
      </c>
      <c r="K131" s="4">
        <f t="shared" ref="K131:K142" si="7">I131/J131</f>
        <v>0.61399999999999999</v>
      </c>
      <c r="L131" s="9">
        <f t="shared" ref="L131:L142" si="8">100%-K131</f>
        <v>0.38600000000000001</v>
      </c>
    </row>
    <row r="132" spans="1:12" x14ac:dyDescent="0.3">
      <c r="A132" s="8" t="s">
        <v>280</v>
      </c>
      <c r="B132" s="1" t="s">
        <v>281</v>
      </c>
      <c r="C132" s="1" t="s">
        <v>20</v>
      </c>
      <c r="D132" s="2">
        <v>90</v>
      </c>
      <c r="E132" s="2">
        <v>79</v>
      </c>
      <c r="F132" s="2">
        <v>99</v>
      </c>
      <c r="G132" s="2">
        <v>60</v>
      </c>
      <c r="H132" s="2">
        <v>27</v>
      </c>
      <c r="I132" s="3">
        <f t="shared" si="6"/>
        <v>355</v>
      </c>
      <c r="J132" s="3">
        <v>500</v>
      </c>
      <c r="K132" s="4">
        <f t="shared" si="7"/>
        <v>0.71</v>
      </c>
      <c r="L132" s="9">
        <f t="shared" si="8"/>
        <v>0.29000000000000004</v>
      </c>
    </row>
    <row r="133" spans="1:12" x14ac:dyDescent="0.3">
      <c r="A133" s="8" t="s">
        <v>282</v>
      </c>
      <c r="B133" s="1" t="s">
        <v>283</v>
      </c>
      <c r="C133" s="1" t="s">
        <v>23</v>
      </c>
      <c r="D133" s="2">
        <v>71</v>
      </c>
      <c r="E133" s="2">
        <v>21</v>
      </c>
      <c r="F133" s="2">
        <v>70</v>
      </c>
      <c r="G133" s="2">
        <v>53</v>
      </c>
      <c r="H133" s="2">
        <v>49</v>
      </c>
      <c r="I133" s="3">
        <f t="shared" si="6"/>
        <v>264</v>
      </c>
      <c r="J133" s="3">
        <v>500</v>
      </c>
      <c r="K133" s="4">
        <f t="shared" si="7"/>
        <v>0.52800000000000002</v>
      </c>
      <c r="L133" s="9">
        <f t="shared" si="8"/>
        <v>0.47199999999999998</v>
      </c>
    </row>
    <row r="134" spans="1:12" x14ac:dyDescent="0.3">
      <c r="A134" s="8" t="s">
        <v>284</v>
      </c>
      <c r="B134" s="1" t="s">
        <v>285</v>
      </c>
      <c r="C134" s="1" t="s">
        <v>26</v>
      </c>
      <c r="D134" s="2">
        <v>86</v>
      </c>
      <c r="E134" s="2">
        <v>60</v>
      </c>
      <c r="F134" s="2">
        <v>59</v>
      </c>
      <c r="G134" s="2">
        <v>51</v>
      </c>
      <c r="H134" s="2">
        <v>90</v>
      </c>
      <c r="I134" s="3">
        <f t="shared" si="6"/>
        <v>346</v>
      </c>
      <c r="J134" s="3">
        <v>500</v>
      </c>
      <c r="K134" s="4">
        <f t="shared" si="7"/>
        <v>0.69199999999999995</v>
      </c>
      <c r="L134" s="9">
        <f t="shared" si="8"/>
        <v>0.30800000000000005</v>
      </c>
    </row>
    <row r="135" spans="1:12" x14ac:dyDescent="0.3">
      <c r="A135" s="8" t="s">
        <v>286</v>
      </c>
      <c r="B135" s="1" t="s">
        <v>287</v>
      </c>
      <c r="C135" s="1" t="s">
        <v>29</v>
      </c>
      <c r="D135" s="2">
        <v>68</v>
      </c>
      <c r="E135" s="2">
        <v>61</v>
      </c>
      <c r="F135" s="2">
        <v>12</v>
      </c>
      <c r="G135" s="2">
        <v>41</v>
      </c>
      <c r="H135" s="2">
        <v>35</v>
      </c>
      <c r="I135" s="3">
        <f t="shared" si="6"/>
        <v>217</v>
      </c>
      <c r="J135" s="3">
        <v>500</v>
      </c>
      <c r="K135" s="4">
        <f t="shared" si="7"/>
        <v>0.434</v>
      </c>
      <c r="L135" s="9">
        <f t="shared" si="8"/>
        <v>0.56600000000000006</v>
      </c>
    </row>
    <row r="136" spans="1:12" x14ac:dyDescent="0.3">
      <c r="A136" s="8" t="s">
        <v>288</v>
      </c>
      <c r="B136" s="1" t="s">
        <v>289</v>
      </c>
      <c r="C136" s="1" t="s">
        <v>32</v>
      </c>
      <c r="D136" s="2">
        <v>65</v>
      </c>
      <c r="E136" s="2">
        <v>34</v>
      </c>
      <c r="F136" s="2">
        <v>15</v>
      </c>
      <c r="G136" s="2">
        <v>86</v>
      </c>
      <c r="H136" s="2">
        <v>71</v>
      </c>
      <c r="I136" s="3">
        <f t="shared" si="6"/>
        <v>271</v>
      </c>
      <c r="J136" s="3">
        <v>500</v>
      </c>
      <c r="K136" s="4">
        <f t="shared" si="7"/>
        <v>0.54200000000000004</v>
      </c>
      <c r="L136" s="9">
        <f t="shared" si="8"/>
        <v>0.45799999999999996</v>
      </c>
    </row>
    <row r="137" spans="1:12" x14ac:dyDescent="0.3">
      <c r="A137" s="8" t="s">
        <v>290</v>
      </c>
      <c r="B137" s="1" t="s">
        <v>291</v>
      </c>
      <c r="C137" s="1" t="s">
        <v>35</v>
      </c>
      <c r="D137" s="2">
        <v>91</v>
      </c>
      <c r="E137" s="2">
        <v>21</v>
      </c>
      <c r="F137" s="2">
        <v>59</v>
      </c>
      <c r="G137" s="2">
        <v>85</v>
      </c>
      <c r="H137" s="2">
        <v>60</v>
      </c>
      <c r="I137" s="3">
        <f t="shared" si="6"/>
        <v>316</v>
      </c>
      <c r="J137" s="3">
        <v>500</v>
      </c>
      <c r="K137" s="4">
        <f t="shared" si="7"/>
        <v>0.63200000000000001</v>
      </c>
      <c r="L137" s="9">
        <f t="shared" si="8"/>
        <v>0.36799999999999999</v>
      </c>
    </row>
    <row r="138" spans="1:12" x14ac:dyDescent="0.3">
      <c r="A138" s="8" t="s">
        <v>292</v>
      </c>
      <c r="B138" s="1" t="s">
        <v>293</v>
      </c>
      <c r="C138" s="1" t="s">
        <v>14</v>
      </c>
      <c r="D138" s="2">
        <v>73</v>
      </c>
      <c r="E138" s="2">
        <v>67</v>
      </c>
      <c r="F138" s="2">
        <v>49</v>
      </c>
      <c r="G138" s="2">
        <v>56</v>
      </c>
      <c r="H138" s="2">
        <v>43</v>
      </c>
      <c r="I138" s="3">
        <f t="shared" si="6"/>
        <v>288</v>
      </c>
      <c r="J138" s="3">
        <v>500</v>
      </c>
      <c r="K138" s="4">
        <f t="shared" si="7"/>
        <v>0.57599999999999996</v>
      </c>
      <c r="L138" s="9">
        <f t="shared" si="8"/>
        <v>0.42400000000000004</v>
      </c>
    </row>
    <row r="139" spans="1:12" x14ac:dyDescent="0.3">
      <c r="A139" s="8" t="s">
        <v>294</v>
      </c>
      <c r="B139" s="1" t="s">
        <v>295</v>
      </c>
      <c r="C139" s="1" t="s">
        <v>17</v>
      </c>
      <c r="D139" s="2">
        <v>72</v>
      </c>
      <c r="E139" s="2">
        <v>49</v>
      </c>
      <c r="F139" s="2">
        <v>93</v>
      </c>
      <c r="G139" s="2">
        <v>95</v>
      </c>
      <c r="H139" s="2">
        <v>73</v>
      </c>
      <c r="I139" s="3">
        <f t="shared" si="6"/>
        <v>382</v>
      </c>
      <c r="J139" s="3">
        <v>500</v>
      </c>
      <c r="K139" s="4">
        <f t="shared" si="7"/>
        <v>0.76400000000000001</v>
      </c>
      <c r="L139" s="9">
        <f t="shared" si="8"/>
        <v>0.23599999999999999</v>
      </c>
    </row>
    <row r="140" spans="1:12" x14ac:dyDescent="0.3">
      <c r="A140" s="8" t="s">
        <v>296</v>
      </c>
      <c r="B140" s="1" t="s">
        <v>297</v>
      </c>
      <c r="C140" s="1" t="s">
        <v>20</v>
      </c>
      <c r="D140" s="2">
        <v>85</v>
      </c>
      <c r="E140" s="2">
        <v>43</v>
      </c>
      <c r="F140" s="2">
        <v>74</v>
      </c>
      <c r="G140" s="2">
        <v>26</v>
      </c>
      <c r="H140" s="2">
        <v>88</v>
      </c>
      <c r="I140" s="3">
        <f t="shared" si="6"/>
        <v>316</v>
      </c>
      <c r="J140" s="3">
        <v>500</v>
      </c>
      <c r="K140" s="4">
        <f t="shared" si="7"/>
        <v>0.63200000000000001</v>
      </c>
      <c r="L140" s="9">
        <f t="shared" si="8"/>
        <v>0.36799999999999999</v>
      </c>
    </row>
    <row r="141" spans="1:12" x14ac:dyDescent="0.3">
      <c r="A141" s="8" t="s">
        <v>298</v>
      </c>
      <c r="B141" s="1" t="s">
        <v>299</v>
      </c>
      <c r="C141" s="1" t="s">
        <v>23</v>
      </c>
      <c r="D141" s="2">
        <v>77</v>
      </c>
      <c r="E141" s="2">
        <v>81</v>
      </c>
      <c r="F141" s="2">
        <v>10</v>
      </c>
      <c r="G141" s="2">
        <v>65</v>
      </c>
      <c r="H141" s="2">
        <v>83</v>
      </c>
      <c r="I141" s="3">
        <f t="shared" si="6"/>
        <v>316</v>
      </c>
      <c r="J141" s="3">
        <v>500</v>
      </c>
      <c r="K141" s="4">
        <f t="shared" si="7"/>
        <v>0.63200000000000001</v>
      </c>
      <c r="L141" s="9">
        <f t="shared" si="8"/>
        <v>0.36799999999999999</v>
      </c>
    </row>
    <row r="142" spans="1:12" x14ac:dyDescent="0.3">
      <c r="A142" s="13" t="s">
        <v>300</v>
      </c>
      <c r="B142" s="14" t="s">
        <v>301</v>
      </c>
      <c r="C142" s="14" t="s">
        <v>26</v>
      </c>
      <c r="D142" s="15">
        <v>46</v>
      </c>
      <c r="E142" s="15">
        <v>52</v>
      </c>
      <c r="F142" s="15">
        <v>57</v>
      </c>
      <c r="G142" s="15">
        <v>67</v>
      </c>
      <c r="H142" s="15">
        <v>64</v>
      </c>
      <c r="I142" s="16">
        <f t="shared" si="6"/>
        <v>286</v>
      </c>
      <c r="J142" s="16">
        <v>500</v>
      </c>
      <c r="K142" s="17">
        <f t="shared" si="7"/>
        <v>0.57199999999999995</v>
      </c>
      <c r="L142" s="18">
        <f t="shared" si="8"/>
        <v>0.42800000000000005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2553FAD-A3D6-4B44-BF33-BE7E4C5D1C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Table1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vasu naidu</cp:lastModifiedBy>
  <dcterms:created xsi:type="dcterms:W3CDTF">2022-05-30T01:30:00Z</dcterms:created>
  <dcterms:modified xsi:type="dcterms:W3CDTF">2025-11-07T16:10:32Z</dcterms:modified>
</cp:coreProperties>
</file>